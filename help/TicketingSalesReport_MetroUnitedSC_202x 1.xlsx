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bhuwan255576_exlservice_com/Documents/Desktop/Desktop files/"/>
    </mc:Choice>
  </mc:AlternateContent>
  <xr:revisionPtr revIDLastSave="0" documentId="8_{F9314E3B-1612-4BF7-AB82-534BA9E8FC3D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Ticket Sales Log" sheetId="1" r:id="rId1"/>
    <sheet name="Revenue by Channel &amp; Tier" sheetId="2" r:id="rId2"/>
    <sheet name="Revenue Distribution" sheetId="3" r:id="rId3"/>
    <sheet name="Rate Card &amp; Commission Rules" sheetId="4" r:id="rId4"/>
  </sheets>
  <definedNames>
    <definedName name="_xlnm._FilterDatabase" localSheetId="0" hidden="1">'Ticket Sales Log'!$A$9:$P$97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4" l="1"/>
  <c r="D13" i="4"/>
  <c r="D12" i="4"/>
  <c r="D11" i="4"/>
  <c r="D10" i="4"/>
  <c r="D9" i="4"/>
  <c r="B19" i="3"/>
  <c r="E23" i="2"/>
  <c r="E22" i="2"/>
  <c r="E21" i="2"/>
  <c r="E20" i="2"/>
  <c r="E19" i="2"/>
  <c r="B10" i="3" s="1"/>
  <c r="E18" i="2"/>
  <c r="E17" i="2"/>
  <c r="E16" i="2"/>
  <c r="E15" i="2"/>
  <c r="E14" i="2"/>
  <c r="E13" i="2"/>
  <c r="E12" i="2"/>
  <c r="E11" i="2"/>
  <c r="E10" i="2"/>
  <c r="E9" i="2"/>
  <c r="E8" i="2"/>
  <c r="E7" i="2"/>
  <c r="L97" i="1"/>
  <c r="L96" i="1"/>
  <c r="L95" i="1"/>
  <c r="L94" i="1"/>
  <c r="K93" i="1"/>
  <c r="M93" i="1" s="1"/>
  <c r="K92" i="1"/>
  <c r="M92" i="1" s="1"/>
  <c r="K91" i="1"/>
  <c r="M91" i="1" s="1"/>
  <c r="K90" i="1"/>
  <c r="M90" i="1" s="1"/>
  <c r="K89" i="1"/>
  <c r="M89" i="1" s="1"/>
  <c r="K88" i="1"/>
  <c r="M88" i="1" s="1"/>
  <c r="K87" i="1"/>
  <c r="M87" i="1" s="1"/>
  <c r="K86" i="1"/>
  <c r="M86" i="1" s="1"/>
  <c r="K85" i="1"/>
  <c r="M85" i="1" s="1"/>
  <c r="K84" i="1"/>
  <c r="M84" i="1" s="1"/>
  <c r="K83" i="1"/>
  <c r="M83" i="1" s="1"/>
  <c r="K82" i="1"/>
  <c r="M82" i="1" s="1"/>
  <c r="K81" i="1"/>
  <c r="M81" i="1" s="1"/>
  <c r="K80" i="1"/>
  <c r="M80" i="1" s="1"/>
  <c r="K79" i="1"/>
  <c r="M79" i="1" s="1"/>
  <c r="K78" i="1"/>
  <c r="M78" i="1" s="1"/>
  <c r="K77" i="1"/>
  <c r="M77" i="1" s="1"/>
  <c r="K76" i="1"/>
  <c r="M76" i="1" s="1"/>
  <c r="K75" i="1"/>
  <c r="M75" i="1" s="1"/>
  <c r="K74" i="1"/>
  <c r="M74" i="1" s="1"/>
  <c r="K73" i="1"/>
  <c r="M73" i="1" s="1"/>
  <c r="M72" i="1"/>
  <c r="K72" i="1"/>
  <c r="K71" i="1"/>
  <c r="M71" i="1" s="1"/>
  <c r="K70" i="1"/>
  <c r="M70" i="1" s="1"/>
  <c r="K69" i="1"/>
  <c r="M69" i="1" s="1"/>
  <c r="K68" i="1"/>
  <c r="M68" i="1" s="1"/>
  <c r="K67" i="1"/>
  <c r="M67" i="1" s="1"/>
  <c r="K66" i="1"/>
  <c r="M66" i="1" s="1"/>
  <c r="K65" i="1"/>
  <c r="M65" i="1" s="1"/>
  <c r="K64" i="1"/>
  <c r="M64" i="1" s="1"/>
  <c r="K63" i="1"/>
  <c r="M63" i="1" s="1"/>
  <c r="K62" i="1"/>
  <c r="M62" i="1" s="1"/>
  <c r="K61" i="1"/>
  <c r="M61" i="1" s="1"/>
  <c r="K60" i="1"/>
  <c r="M60" i="1" s="1"/>
  <c r="K59" i="1"/>
  <c r="M59" i="1" s="1"/>
  <c r="K58" i="1"/>
  <c r="M58" i="1" s="1"/>
  <c r="K57" i="1"/>
  <c r="M57" i="1" s="1"/>
  <c r="K56" i="1"/>
  <c r="M56" i="1" s="1"/>
  <c r="K55" i="1"/>
  <c r="M55" i="1" s="1"/>
  <c r="K54" i="1"/>
  <c r="M54" i="1" s="1"/>
  <c r="K53" i="1"/>
  <c r="M53" i="1" s="1"/>
  <c r="K52" i="1"/>
  <c r="M52" i="1" s="1"/>
  <c r="K51" i="1"/>
  <c r="M51" i="1" s="1"/>
  <c r="K50" i="1"/>
  <c r="M50" i="1" s="1"/>
  <c r="K49" i="1"/>
  <c r="M49" i="1" s="1"/>
  <c r="K48" i="1"/>
  <c r="M48" i="1" s="1"/>
  <c r="K47" i="1"/>
  <c r="M47" i="1" s="1"/>
  <c r="K46" i="1"/>
  <c r="M46" i="1" s="1"/>
  <c r="K45" i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M37" i="1" s="1"/>
  <c r="K36" i="1"/>
  <c r="M36" i="1" s="1"/>
  <c r="K35" i="1"/>
  <c r="M35" i="1" s="1"/>
  <c r="K34" i="1"/>
  <c r="M34" i="1" s="1"/>
  <c r="K33" i="1"/>
  <c r="M33" i="1" s="1"/>
  <c r="K32" i="1"/>
  <c r="M32" i="1" s="1"/>
  <c r="K31" i="1"/>
  <c r="M31" i="1" s="1"/>
  <c r="K30" i="1"/>
  <c r="M30" i="1" s="1"/>
  <c r="K29" i="1"/>
  <c r="M29" i="1" s="1"/>
  <c r="K28" i="1"/>
  <c r="M28" i="1" s="1"/>
  <c r="K27" i="1"/>
  <c r="M27" i="1" s="1"/>
  <c r="K26" i="1"/>
  <c r="M26" i="1" s="1"/>
  <c r="K25" i="1"/>
  <c r="M25" i="1" s="1"/>
  <c r="K24" i="1"/>
  <c r="M24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O11" i="1" s="1"/>
  <c r="K10" i="1"/>
  <c r="M10" i="1" s="1"/>
  <c r="B9" i="3" l="1"/>
  <c r="O24" i="1"/>
  <c r="P24" i="1" s="1"/>
  <c r="O57" i="1"/>
  <c r="P57" i="1" s="1"/>
  <c r="O15" i="1"/>
  <c r="P15" i="1" s="1"/>
  <c r="O69" i="1"/>
  <c r="P69" i="1" s="1"/>
  <c r="O60" i="1"/>
  <c r="P60" i="1" s="1"/>
  <c r="O39" i="1"/>
  <c r="P39" i="1" s="1"/>
  <c r="O93" i="1"/>
  <c r="P93" i="1" s="1"/>
  <c r="G16" i="2"/>
  <c r="O51" i="1"/>
  <c r="O30" i="1"/>
  <c r="P30" i="1" s="1"/>
  <c r="O84" i="1"/>
  <c r="P84" i="1" s="1"/>
  <c r="O42" i="1"/>
  <c r="P42" i="1" s="1"/>
  <c r="G11" i="2"/>
  <c r="O21" i="1"/>
  <c r="G21" i="2"/>
  <c r="O75" i="1"/>
  <c r="O12" i="1"/>
  <c r="P12" i="1" s="1"/>
  <c r="O66" i="1"/>
  <c r="P66" i="1" s="1"/>
  <c r="O78" i="1"/>
  <c r="P78" i="1" s="1"/>
  <c r="O48" i="1"/>
  <c r="P48" i="1" s="1"/>
  <c r="O33" i="1"/>
  <c r="P33" i="1" s="1"/>
  <c r="O87" i="1"/>
  <c r="P87" i="1" s="1"/>
  <c r="O36" i="1"/>
  <c r="P36" i="1" s="1"/>
  <c r="O46" i="1"/>
  <c r="P46" i="1" s="1"/>
  <c r="O82" i="1"/>
  <c r="P82" i="1" s="1"/>
  <c r="O20" i="1"/>
  <c r="P20" i="1" s="1"/>
  <c r="O38" i="1"/>
  <c r="P38" i="1" s="1"/>
  <c r="O47" i="1"/>
  <c r="G14" i="2"/>
  <c r="O56" i="1"/>
  <c r="P56" i="1" s="1"/>
  <c r="O65" i="1"/>
  <c r="P65" i="1" s="1"/>
  <c r="O74" i="1"/>
  <c r="G20" i="2"/>
  <c r="O83" i="1"/>
  <c r="P83" i="1" s="1"/>
  <c r="O92" i="1"/>
  <c r="P92" i="1" s="1"/>
  <c r="P11" i="1"/>
  <c r="O18" i="1"/>
  <c r="P18" i="1" s="1"/>
  <c r="O27" i="1"/>
  <c r="P27" i="1" s="1"/>
  <c r="G13" i="2"/>
  <c r="O45" i="1"/>
  <c r="P45" i="1" s="1"/>
  <c r="G18" i="2"/>
  <c r="O54" i="1"/>
  <c r="G19" i="2"/>
  <c r="M97" i="1"/>
  <c r="O72" i="1"/>
  <c r="P72" i="1" s="1"/>
  <c r="O90" i="1"/>
  <c r="P90" i="1" s="1"/>
  <c r="O19" i="1"/>
  <c r="G10" i="2"/>
  <c r="P64" i="1"/>
  <c r="O64" i="1"/>
  <c r="O63" i="1"/>
  <c r="P63" i="1" s="1"/>
  <c r="O81" i="1"/>
  <c r="P81" i="1" s="1"/>
  <c r="O28" i="1"/>
  <c r="P28" i="1" s="1"/>
  <c r="O55" i="1"/>
  <c r="P55" i="1" s="1"/>
  <c r="O91" i="1"/>
  <c r="P91" i="1" s="1"/>
  <c r="O29" i="1"/>
  <c r="P29" i="1" s="1"/>
  <c r="O31" i="1"/>
  <c r="P31" i="1" s="1"/>
  <c r="O67" i="1"/>
  <c r="P67" i="1" s="1"/>
  <c r="O85" i="1"/>
  <c r="P85" i="1" s="1"/>
  <c r="O37" i="1"/>
  <c r="P37" i="1" s="1"/>
  <c r="O73" i="1"/>
  <c r="P73" i="1" s="1"/>
  <c r="O13" i="1"/>
  <c r="P13" i="1" s="1"/>
  <c r="G8" i="2"/>
  <c r="G12" i="2"/>
  <c r="O22" i="1"/>
  <c r="P22" i="1" s="1"/>
  <c r="O40" i="1"/>
  <c r="P40" i="1" s="1"/>
  <c r="G15" i="2"/>
  <c r="O49" i="1"/>
  <c r="P49" i="1" s="1"/>
  <c r="O58" i="1"/>
  <c r="P58" i="1" s="1"/>
  <c r="G22" i="2"/>
  <c r="O76" i="1"/>
  <c r="O14" i="1"/>
  <c r="P14" i="1" s="1"/>
  <c r="O23" i="1"/>
  <c r="P23" i="1" s="1"/>
  <c r="O32" i="1"/>
  <c r="P32" i="1" s="1"/>
  <c r="O41" i="1"/>
  <c r="P41" i="1" s="1"/>
  <c r="O50" i="1"/>
  <c r="P50" i="1" s="1"/>
  <c r="O59" i="1"/>
  <c r="P59" i="1" s="1"/>
  <c r="O68" i="1"/>
  <c r="P68" i="1" s="1"/>
  <c r="G23" i="2"/>
  <c r="O77" i="1"/>
  <c r="O86" i="1"/>
  <c r="P86" i="1" s="1"/>
  <c r="M96" i="1"/>
  <c r="G9" i="2"/>
  <c r="O16" i="1"/>
  <c r="O25" i="1"/>
  <c r="P25" i="1" s="1"/>
  <c r="O34" i="1"/>
  <c r="P34" i="1" s="1"/>
  <c r="O43" i="1"/>
  <c r="P43" i="1" s="1"/>
  <c r="O26" i="1"/>
  <c r="P26" i="1" s="1"/>
  <c r="O44" i="1"/>
  <c r="P44" i="1" s="1"/>
  <c r="G17" i="2"/>
  <c r="O53" i="1"/>
  <c r="H17" i="2" s="1"/>
  <c r="O62" i="1"/>
  <c r="P62" i="1" s="1"/>
  <c r="O71" i="1"/>
  <c r="P71" i="1" s="1"/>
  <c r="O80" i="1"/>
  <c r="P80" i="1" s="1"/>
  <c r="O89" i="1"/>
  <c r="P89" i="1" s="1"/>
  <c r="O52" i="1"/>
  <c r="P52" i="1" s="1"/>
  <c r="O61" i="1"/>
  <c r="P61" i="1" s="1"/>
  <c r="O70" i="1"/>
  <c r="P70" i="1" s="1"/>
  <c r="O79" i="1"/>
  <c r="P79" i="1" s="1"/>
  <c r="P88" i="1"/>
  <c r="O88" i="1"/>
  <c r="O17" i="1"/>
  <c r="P17" i="1" s="1"/>
  <c r="O35" i="1"/>
  <c r="P35" i="1" s="1"/>
  <c r="G7" i="2"/>
  <c r="M95" i="1"/>
  <c r="O10" i="1"/>
  <c r="M94" i="1"/>
  <c r="E24" i="2"/>
  <c r="E26" i="2"/>
  <c r="B8" i="3"/>
  <c r="B11" i="3" s="1"/>
  <c r="E25" i="2"/>
  <c r="E27" i="2"/>
  <c r="H10" i="2" l="1"/>
  <c r="H20" i="2"/>
  <c r="F15" i="2"/>
  <c r="F13" i="2"/>
  <c r="C9" i="3"/>
  <c r="G26" i="2"/>
  <c r="F23" i="2"/>
  <c r="J23" i="2"/>
  <c r="P19" i="1"/>
  <c r="I10" i="2" s="1"/>
  <c r="J10" i="2" s="1"/>
  <c r="H23" i="2"/>
  <c r="H7" i="2"/>
  <c r="O95" i="1"/>
  <c r="O94" i="1"/>
  <c r="P10" i="1"/>
  <c r="P77" i="1"/>
  <c r="I23" i="2" s="1"/>
  <c r="H12" i="2"/>
  <c r="H19" i="2"/>
  <c r="O97" i="1"/>
  <c r="F11" i="2"/>
  <c r="J12" i="2"/>
  <c r="F12" i="2"/>
  <c r="I19" i="2"/>
  <c r="J19" i="2" s="1"/>
  <c r="I13" i="2"/>
  <c r="J13" i="2" s="1"/>
  <c r="P74" i="1"/>
  <c r="I20" i="2" s="1"/>
  <c r="J20" i="2" s="1"/>
  <c r="G25" i="2"/>
  <c r="F7" i="2"/>
  <c r="G24" i="2"/>
  <c r="C8" i="3"/>
  <c r="H22" i="2"/>
  <c r="I12" i="2"/>
  <c r="F14" i="2"/>
  <c r="I15" i="2"/>
  <c r="J15" i="2" s="1"/>
  <c r="F22" i="2"/>
  <c r="G27" i="2"/>
  <c r="F19" i="2"/>
  <c r="C10" i="3"/>
  <c r="H14" i="2"/>
  <c r="H21" i="2"/>
  <c r="H16" i="2"/>
  <c r="F17" i="2"/>
  <c r="H9" i="2"/>
  <c r="P76" i="1"/>
  <c r="I22" i="2" s="1"/>
  <c r="J22" i="2" s="1"/>
  <c r="F8" i="2"/>
  <c r="H18" i="2"/>
  <c r="P47" i="1"/>
  <c r="I14" i="2" s="1"/>
  <c r="J14" i="2" s="1"/>
  <c r="P75" i="1"/>
  <c r="I21" i="2" s="1"/>
  <c r="J21" i="2" s="1"/>
  <c r="P51" i="1"/>
  <c r="I16" i="2" s="1"/>
  <c r="J16" i="2" s="1"/>
  <c r="F27" i="2"/>
  <c r="P53" i="1"/>
  <c r="I17" i="2" s="1"/>
  <c r="J17" i="2" s="1"/>
  <c r="P16" i="1"/>
  <c r="I9" i="2" s="1"/>
  <c r="J9" i="2" s="1"/>
  <c r="H8" i="2"/>
  <c r="P54" i="1"/>
  <c r="I18" i="2" s="1"/>
  <c r="J18" i="2" s="1"/>
  <c r="F21" i="2"/>
  <c r="F16" i="2"/>
  <c r="F26" i="2"/>
  <c r="F9" i="2"/>
  <c r="F25" i="2"/>
  <c r="I8" i="2"/>
  <c r="J8" i="2" s="1"/>
  <c r="F18" i="2"/>
  <c r="H11" i="2"/>
  <c r="H15" i="2"/>
  <c r="F10" i="2"/>
  <c r="H13" i="2"/>
  <c r="O96" i="1"/>
  <c r="F20" i="2"/>
  <c r="P21" i="1"/>
  <c r="I11" i="2" s="1"/>
  <c r="J11" i="2" s="1"/>
  <c r="J27" i="2" l="1"/>
  <c r="E9" i="3"/>
  <c r="H26" i="2"/>
  <c r="B25" i="3" s="1"/>
  <c r="H27" i="2"/>
  <c r="B26" i="3" s="1"/>
  <c r="E10" i="3"/>
  <c r="D10" i="3" s="1"/>
  <c r="C11" i="3"/>
  <c r="J26" i="2"/>
  <c r="F24" i="2"/>
  <c r="B23" i="3"/>
  <c r="D9" i="3"/>
  <c r="F9" i="3"/>
  <c r="I26" i="2"/>
  <c r="P95" i="1"/>
  <c r="P94" i="1"/>
  <c r="I7" i="2"/>
  <c r="P96" i="1"/>
  <c r="F10" i="3"/>
  <c r="I27" i="2"/>
  <c r="P97" i="1"/>
  <c r="H25" i="2"/>
  <c r="B24" i="3" s="1"/>
  <c r="C24" i="3" s="1"/>
  <c r="E8" i="3"/>
  <c r="E11" i="3" s="1"/>
  <c r="H24" i="2"/>
  <c r="D11" i="3" l="1"/>
  <c r="F8" i="3"/>
  <c r="F11" i="3" s="1"/>
  <c r="I24" i="2"/>
  <c r="I25" i="2"/>
  <c r="J25" i="2"/>
  <c r="J7" i="2"/>
  <c r="C26" i="3"/>
  <c r="D8" i="3"/>
  <c r="C25" i="3"/>
  <c r="B27" i="3"/>
  <c r="C23" i="3"/>
  <c r="C27" i="3" l="1"/>
  <c r="C15" i="3"/>
  <c r="D15" i="3" s="1"/>
  <c r="C18" i="3"/>
  <c r="D18" i="3" s="1"/>
  <c r="B30" i="3" s="1"/>
  <c r="C30" i="3" s="1"/>
  <c r="C17" i="3"/>
  <c r="D17" i="3" s="1"/>
  <c r="B29" i="3" s="1"/>
  <c r="C29" i="3" s="1"/>
  <c r="C16" i="3"/>
  <c r="D16" i="3" s="1"/>
  <c r="B28" i="3" s="1"/>
  <c r="C28" i="3" s="1"/>
  <c r="J24" i="2"/>
  <c r="D19" i="3" l="1"/>
  <c r="E15" i="3"/>
  <c r="E16" i="3" s="1"/>
  <c r="E17" i="3" s="1"/>
  <c r="E18" i="3" s="1"/>
  <c r="B31" i="3"/>
  <c r="C31" i="3" s="1"/>
</calcChain>
</file>

<file path=xl/sharedStrings.xml><?xml version="1.0" encoding="utf-8"?>
<sst xmlns="http://schemas.openxmlformats.org/spreadsheetml/2006/main" count="858" uniqueCount="258">
  <si>
    <t>Club</t>
  </si>
  <si>
    <t>Metro United SC</t>
  </si>
  <si>
    <t>Opponent</t>
  </si>
  <si>
    <t>Riverside City FC</t>
  </si>
  <si>
    <t>Game Date</t>
  </si>
  <si>
    <t>TBD, 202x</t>
  </si>
  <si>
    <t>Venue</t>
  </si>
  <si>
    <t>Metro Arena  (Capacity: 25,000)</t>
  </si>
  <si>
    <t>Report Period</t>
  </si>
  <si>
    <t>All sales from Early Bird open through Gate (≤30 min before KO)</t>
  </si>
  <si>
    <t>Currency</t>
  </si>
  <si>
    <t>USD ($)</t>
  </si>
  <si>
    <t>Prepared By</t>
  </si>
  <si>
    <t>Ticketing Operations Dept</t>
  </si>
  <si>
    <t>Sale ID</t>
  </si>
  <si>
    <t>Channel</t>
  </si>
  <si>
    <t>Member
Type</t>
  </si>
  <si>
    <t>Timing Tier</t>
  </si>
  <si>
    <t>Days Before
Game</t>
  </si>
  <si>
    <t>Ticket Category</t>
  </si>
  <si>
    <t>Zone / Section</t>
  </si>
  <si>
    <t>Base
Price ($)</t>
  </si>
  <si>
    <t>Tier
Multiplier</t>
  </si>
  <si>
    <t>Member
Discount</t>
  </si>
  <si>
    <t>Sale Price
($)</t>
  </si>
  <si>
    <t>Qty
Sold</t>
  </si>
  <si>
    <t>Gross Revenue
($)</t>
  </si>
  <si>
    <t>Seller
Comm %</t>
  </si>
  <si>
    <t>Seller
Comm ($)</t>
  </si>
  <si>
    <t>Net Revenue
to Pool ($)</t>
  </si>
  <si>
    <t>TKT-001</t>
  </si>
  <si>
    <t>Online</t>
  </si>
  <si>
    <t>Member</t>
  </si>
  <si>
    <t>Early Bird</t>
  </si>
  <si>
    <t>60–90</t>
  </si>
  <si>
    <t>VIP Suite Box</t>
  </si>
  <si>
    <t>Suites Level 1</t>
  </si>
  <si>
    <t>TKT-002</t>
  </si>
  <si>
    <t>Club / Premium</t>
  </si>
  <si>
    <t>Club Level 100s</t>
  </si>
  <si>
    <t>TKT-003</t>
  </si>
  <si>
    <t>Lower Bowl</t>
  </si>
  <si>
    <t>Sections 200–230</t>
  </si>
  <si>
    <t>TKT-004</t>
  </si>
  <si>
    <t>Advance</t>
  </si>
  <si>
    <t>30–59</t>
  </si>
  <si>
    <t>TKT-005</t>
  </si>
  <si>
    <t>TKT-006</t>
  </si>
  <si>
    <t>Upper Bowl</t>
  </si>
  <si>
    <t>Sections 300–340</t>
  </si>
  <si>
    <t>TKT-007</t>
  </si>
  <si>
    <t>Standard</t>
  </si>
  <si>
    <t>14–29</t>
  </si>
  <si>
    <t>TKT-008</t>
  </si>
  <si>
    <t>TKT-009</t>
  </si>
  <si>
    <t>TKT-010</t>
  </si>
  <si>
    <t>Late</t>
  </si>
  <si>
    <t>7–13</t>
  </si>
  <si>
    <t>TKT-011</t>
  </si>
  <si>
    <t>TKT-012</t>
  </si>
  <si>
    <t>Last Minute</t>
  </si>
  <si>
    <t>2–6</t>
  </si>
  <si>
    <t>TKT-013</t>
  </si>
  <si>
    <t>Day Of Game</t>
  </si>
  <si>
    <t>Same day &gt;30m</t>
  </si>
  <si>
    <t>TKT-014</t>
  </si>
  <si>
    <t>Non-Member</t>
  </si>
  <si>
    <t>TKT-015</t>
  </si>
  <si>
    <t>TKT-016</t>
  </si>
  <si>
    <t>General Admission</t>
  </si>
  <si>
    <t>GA Terrace</t>
  </si>
  <si>
    <t>TKT-017</t>
  </si>
  <si>
    <t>TKT-018</t>
  </si>
  <si>
    <t>TKT-019</t>
  </si>
  <si>
    <t>TKT-020</t>
  </si>
  <si>
    <t>TKT-021</t>
  </si>
  <si>
    <t>TKT-022</t>
  </si>
  <si>
    <t>TKT-023</t>
  </si>
  <si>
    <t>TKT-024</t>
  </si>
  <si>
    <t>TKT-025</t>
  </si>
  <si>
    <t>TKT-026</t>
  </si>
  <si>
    <t>Student / Youth</t>
  </si>
  <si>
    <t>Upper 350–360</t>
  </si>
  <si>
    <t>TKT-027</t>
  </si>
  <si>
    <t>TKT-028</t>
  </si>
  <si>
    <t>TKT-029</t>
  </si>
  <si>
    <t>TKT-030</t>
  </si>
  <si>
    <t>TKT-031</t>
  </si>
  <si>
    <t>TKT-032</t>
  </si>
  <si>
    <t>TKT-033</t>
  </si>
  <si>
    <t>TKT-034</t>
  </si>
  <si>
    <t>TKT-035</t>
  </si>
  <si>
    <t>TKT-036</t>
  </si>
  <si>
    <t>App</t>
  </si>
  <si>
    <t>TKT-037</t>
  </si>
  <si>
    <t>TKT-038</t>
  </si>
  <si>
    <t>TKT-039</t>
  </si>
  <si>
    <t>TKT-040</t>
  </si>
  <si>
    <t>TKT-041</t>
  </si>
  <si>
    <t>TKT-042</t>
  </si>
  <si>
    <t>TKT-043</t>
  </si>
  <si>
    <t>TKT-044</t>
  </si>
  <si>
    <t>TKT-045</t>
  </si>
  <si>
    <t>TKT-046</t>
  </si>
  <si>
    <t>TKT-047</t>
  </si>
  <si>
    <t>TKT-048</t>
  </si>
  <si>
    <t>TKT-049</t>
  </si>
  <si>
    <t>TKT-050</t>
  </si>
  <si>
    <t>TKT-051</t>
  </si>
  <si>
    <t>TKT-052</t>
  </si>
  <si>
    <t>TKT-053</t>
  </si>
  <si>
    <t>TKT-054</t>
  </si>
  <si>
    <t>TKT-055</t>
  </si>
  <si>
    <t>TKT-056</t>
  </si>
  <si>
    <t>TKT-057</t>
  </si>
  <si>
    <t>TKT-058</t>
  </si>
  <si>
    <t>TKT-059</t>
  </si>
  <si>
    <t>TKT-060</t>
  </si>
  <si>
    <t>TKT-061</t>
  </si>
  <si>
    <t>TKT-062</t>
  </si>
  <si>
    <t>TKT-063</t>
  </si>
  <si>
    <t>Onsite</t>
  </si>
  <si>
    <t>TKT-064</t>
  </si>
  <si>
    <t>TKT-065</t>
  </si>
  <si>
    <t>TKT-066</t>
  </si>
  <si>
    <t>TKT-067</t>
  </si>
  <si>
    <t>TKT-068</t>
  </si>
  <si>
    <t>Gate</t>
  </si>
  <si>
    <t>≤ 30 min</t>
  </si>
  <si>
    <t>TKT-069</t>
  </si>
  <si>
    <t>TKT-070</t>
  </si>
  <si>
    <t>TKT-071</t>
  </si>
  <si>
    <t>TKT-072</t>
  </si>
  <si>
    <t>TKT-073</t>
  </si>
  <si>
    <t>TKT-074</t>
  </si>
  <si>
    <t>TKT-075</t>
  </si>
  <si>
    <t>TKT-076</t>
  </si>
  <si>
    <t>TKT-077</t>
  </si>
  <si>
    <t>TKT-078</t>
  </si>
  <si>
    <t>TKT-079</t>
  </si>
  <si>
    <t>TKT-080</t>
  </si>
  <si>
    <t>TKT-081</t>
  </si>
  <si>
    <t>TKT-082</t>
  </si>
  <si>
    <t>TKT-083</t>
  </si>
  <si>
    <t>TKT-084</t>
  </si>
  <si>
    <t>TOTAL</t>
  </si>
  <si>
    <t xml:space="preserve">  Online Sub-Total</t>
  </si>
  <si>
    <t xml:space="preserve">  App Sub-Total</t>
  </si>
  <si>
    <t xml:space="preserve">  Onsite Sub-Total</t>
  </si>
  <si>
    <t>Purpose</t>
  </si>
  <si>
    <t>Revenue summary by seller channel and sale timing tier</t>
  </si>
  <si>
    <t>Seller
Comm Rate</t>
  </si>
  <si>
    <t>Tickets
Sold</t>
  </si>
  <si>
    <t>Avg. Sale
Price ($)</t>
  </si>
  <si>
    <t>Seller Comm
($)</t>
  </si>
  <si>
    <t>Net as %
of Gross</t>
  </si>
  <si>
    <t>GRAND TOTAL</t>
  </si>
  <si>
    <t xml:space="preserve">  Online Total</t>
  </si>
  <si>
    <t xml:space="preserve">  App Total</t>
  </si>
  <si>
    <t xml:space="preserve">  Onsite Total</t>
  </si>
  <si>
    <t>Revenue sharing – clubs, venue, league; commission summary by seller</t>
  </si>
  <si>
    <t>A.  SELLER COMMISSION PAYABLE BY CHANNEL</t>
  </si>
  <si>
    <t>Tickets Sold</t>
  </si>
  <si>
    <t>Gross Revenue ($)</t>
  </si>
  <si>
    <t>Avg Comm Rate</t>
  </si>
  <si>
    <t>Commission Payable ($)</t>
  </si>
  <si>
    <t>Net Revenue to Pool ($)</t>
  </si>
  <si>
    <t>Payment Reference</t>
  </si>
  <si>
    <t>PAY-OLN-001</t>
  </si>
  <si>
    <t>PAY-APP-001</t>
  </si>
  <si>
    <t>PAY-ONS-001</t>
  </si>
  <si>
    <t>B.  REVENUE SHARING BETWEEN CLUBS</t>
  </si>
  <si>
    <t>Stakeholder</t>
  </si>
  <si>
    <t>Share %</t>
  </si>
  <si>
    <t>Net Revenue
Pool ($)</t>
  </si>
  <si>
    <t>Share Amount ($)</t>
  </si>
  <si>
    <t>Running Club
Net ($)</t>
  </si>
  <si>
    <t>Notes</t>
  </si>
  <si>
    <t>Home Club  –  Metro United SC</t>
  </si>
  <si>
    <t>PAY-HMC-001</t>
  </si>
  <si>
    <t>Primary ticket revenue holder</t>
  </si>
  <si>
    <t>Away Club  –  Riverside City FC</t>
  </si>
  <si>
    <t>PAY-AWY-001</t>
  </si>
  <si>
    <t>Visiting team guarantee per league agreement</t>
  </si>
  <si>
    <t>Venue / Facility Fee</t>
  </si>
  <si>
    <t>PAY-VEN-001</t>
  </si>
  <si>
    <t>Arena ops, cleaning, security, infrastructure</t>
  </si>
  <si>
    <t>League Operations Fee</t>
  </si>
  <si>
    <t>PAY-LGE-001</t>
  </si>
  <si>
    <t>Per ticketing rights &amp; league admin agreement</t>
  </si>
  <si>
    <t>TOTAL DISTRIBUTED</t>
  </si>
  <si>
    <t>C.  FULL REVENUE WATERFALL</t>
  </si>
  <si>
    <t>Revenue / Deduction Component</t>
  </si>
  <si>
    <t>Amount ($)</t>
  </si>
  <si>
    <t>% of Gross Revenue</t>
  </si>
  <si>
    <t>(+) Gross Ticket Revenue</t>
  </si>
  <si>
    <t>Total across all channels &amp; tiers</t>
  </si>
  <si>
    <t>(-) Online Seller Commission</t>
  </si>
  <si>
    <t>Avg 8–12% by timing tier</t>
  </si>
  <si>
    <t>(-) App Seller Commission</t>
  </si>
  <si>
    <t>Avg 6–9% by timing tier</t>
  </si>
  <si>
    <t>(-) Onsite Seller Commission</t>
  </si>
  <si>
    <t>Flat 4–5%</t>
  </si>
  <si>
    <t xml:space="preserve"> =net revenue pool</t>
  </si>
  <si>
    <t>Available for club/venue/league distribution</t>
  </si>
  <si>
    <t>(-) Away Club Share  (18%)</t>
  </si>
  <si>
    <t>Riverside City FC guarantee</t>
  </si>
  <si>
    <t>(-) Venue / Facility Fee  (7%)</t>
  </si>
  <si>
    <t>Metro Arena operations</t>
  </si>
  <si>
    <t>(-) League Operations  (7%)</t>
  </si>
  <si>
    <t>League ticketing fee</t>
  </si>
  <si>
    <t xml:space="preserve"> =home club net revenue</t>
  </si>
  <si>
    <t>Metro United SC – retained revenue</t>
  </si>
  <si>
    <t>A.  TICKET BASE PRICES  (Standard / Face Value)</t>
  </si>
  <si>
    <t>Category</t>
  </si>
  <si>
    <t>Base Price ($)</t>
  </si>
  <si>
    <t>Member Price ($)
(12% off)</t>
  </si>
  <si>
    <t>Includes hospitality package</t>
  </si>
  <si>
    <t>Premium seating with lounge access</t>
  </si>
  <si>
    <t>Standing / first-come</t>
  </si>
  <si>
    <t>Upper Bowl 350–360</t>
  </si>
  <si>
    <t>Valid student/youth ID required</t>
  </si>
  <si>
    <t>B.  SALE TIMING TIERS  (Price Multipliers Applied to Base Price)</t>
  </si>
  <si>
    <t>Days Before Game</t>
  </si>
  <si>
    <t>Price Multiplier</t>
  </si>
  <si>
    <t>Effect on Base Price</t>
  </si>
  <si>
    <t>Applies To</t>
  </si>
  <si>
    <t>Color Code</t>
  </si>
  <si>
    <t>60 – 90 days</t>
  </si>
  <si>
    <t>20% DISCOUNT</t>
  </si>
  <si>
    <t>Online, App</t>
  </si>
  <si>
    <t>30 – 59 days</t>
  </si>
  <si>
    <t>10% DISCOUNT</t>
  </si>
  <si>
    <t>14 – 29 days</t>
  </si>
  <si>
    <t>Base price</t>
  </si>
  <si>
    <t>Online, App, Onsite</t>
  </si>
  <si>
    <t>7 – 13 days</t>
  </si>
  <si>
    <t>10% PREMIUM</t>
  </si>
  <si>
    <t>2 – 6 days</t>
  </si>
  <si>
    <t>20% PREMIUM</t>
  </si>
  <si>
    <t>35% PREMIUM</t>
  </si>
  <si>
    <t>50% PREMIUM</t>
  </si>
  <si>
    <t>Onsite only</t>
  </si>
  <si>
    <t>C.  SELLER CHANNEL COMMISSION RATES</t>
  </si>
  <si>
    <t>Last Minute / Day Of / Gate</t>
  </si>
  <si>
    <t>Online (Web)</t>
  </si>
  <si>
    <t>App (Mobile)</t>
  </si>
  <si>
    <t>Onsite Window</t>
  </si>
  <si>
    <t>N/A</t>
  </si>
  <si>
    <t>D.  REVENUE DISTRIBUTION  (Applied to Net Revenue after Seller Commissions)</t>
  </si>
  <si>
    <t>Basis</t>
  </si>
  <si>
    <t>Home Club  (Metro United SC)</t>
  </si>
  <si>
    <t>Net Ticketing Revenue</t>
  </si>
  <si>
    <t>After all deductions</t>
  </si>
  <si>
    <t>Away Club  (Riverside City FC)</t>
  </si>
  <si>
    <t>Visiting team guarantee</t>
  </si>
  <si>
    <t>Arena operations &amp; maintenance</t>
  </si>
  <si>
    <t>Per league ticketing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</si>
</sst>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;&quot;($&quot;#,##0.00\);\-"/>
    <numFmt numFmtId="165" formatCode="0.00\x;\(0.00&quot;x)&quot;;\-"/>
    <numFmt numFmtId="166" formatCode="0.0%;0.0%;\-"/>
    <numFmt numFmtId="167" formatCode="#,##0;\(#,##0\);\-"/>
  </numFmts>
  <fonts count="7" x14ac:knownFonts="1">
    <font>
      <sz val="11"/>
      <color theme="1"/>
      <name val="Calibri"/>
      <family val="2"/>
      <charset val="1"/>
    </font>
    <font>
      <b/>
      <sz val="10"/>
      <color rgb="FF1A2C52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9"/>
      <color rgb="FFFFFFFF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EAF0FB"/>
        <bgColor rgb="FFEDE4F7"/>
      </patternFill>
    </fill>
    <fill>
      <patternFill patternType="solid">
        <fgColor rgb="FF1A2C52"/>
        <bgColor rgb="FF333399"/>
      </patternFill>
    </fill>
    <fill>
      <patternFill patternType="solid">
        <fgColor rgb="FFD6F0E0"/>
        <bgColor rgb="FFD6E4F7"/>
      </patternFill>
    </fill>
    <fill>
      <patternFill patternType="solid">
        <fgColor rgb="FFD6E4F7"/>
        <bgColor rgb="FFD6F0E0"/>
      </patternFill>
    </fill>
    <fill>
      <patternFill patternType="solid">
        <fgColor rgb="FFFFF7CC"/>
        <bgColor rgb="FFFDE9D0"/>
      </patternFill>
    </fill>
    <fill>
      <patternFill patternType="solid">
        <fgColor rgb="FFFDE9D0"/>
        <bgColor rgb="FFFFF7CC"/>
      </patternFill>
    </fill>
    <fill>
      <patternFill patternType="solid">
        <fgColor rgb="FFFAD7D7"/>
        <bgColor rgb="FFFDE9D0"/>
      </patternFill>
    </fill>
    <fill>
      <patternFill patternType="solid">
        <fgColor rgb="FFC9A227"/>
        <bgColor rgb="FF99CC00"/>
      </patternFill>
    </fill>
    <fill>
      <patternFill patternType="solid">
        <fgColor rgb="FF1A5C38"/>
        <bgColor rgb="FF008000"/>
      </patternFill>
    </fill>
    <fill>
      <patternFill patternType="solid">
        <fgColor rgb="FF2E74B5"/>
        <bgColor rgb="FF0066CC"/>
      </patternFill>
    </fill>
    <fill>
      <patternFill patternType="solid">
        <fgColor rgb="FFB85C00"/>
        <bgColor rgb="FFFF6600"/>
      </patternFill>
    </fill>
    <fill>
      <patternFill patternType="solid">
        <fgColor rgb="FFEDE4F7"/>
        <bgColor rgb="FFEAF0FB"/>
      </patternFill>
    </fill>
    <fill>
      <patternFill patternType="solid">
        <fgColor rgb="FFFFFFFF"/>
        <bgColor rgb="FFEAF0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right" vertical="center"/>
    </xf>
    <xf numFmtId="167" fontId="4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right" vertical="center"/>
    </xf>
    <xf numFmtId="167" fontId="4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165" fontId="4" fillId="6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right" vertical="center"/>
    </xf>
    <xf numFmtId="167" fontId="4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165" fontId="4" fillId="7" borderId="1" xfId="0" applyNumberFormat="1" applyFont="1" applyFill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right" vertical="center"/>
    </xf>
    <xf numFmtId="167" fontId="4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4" fontId="4" fillId="8" borderId="1" xfId="0" applyNumberFormat="1" applyFont="1" applyFill="1" applyBorder="1" applyAlignment="1">
      <alignment horizontal="right" vertical="center"/>
    </xf>
    <xf numFmtId="165" fontId="4" fillId="8" borderId="1" xfId="0" applyNumberFormat="1" applyFont="1" applyFill="1" applyBorder="1" applyAlignment="1">
      <alignment horizontal="center" vertical="center"/>
    </xf>
    <xf numFmtId="166" fontId="4" fillId="8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right" vertical="center"/>
    </xf>
    <xf numFmtId="167" fontId="4" fillId="8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167" fontId="5" fillId="9" borderId="1" xfId="0" applyNumberFormat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applyFont="1" applyFill="1" applyBorder="1"/>
    <xf numFmtId="167" fontId="6" fillId="10" borderId="1" xfId="0" applyNumberFormat="1" applyFont="1" applyFill="1" applyBorder="1" applyAlignment="1">
      <alignment horizontal="center" vertical="center"/>
    </xf>
    <xf numFmtId="164" fontId="6" fillId="10" borderId="1" xfId="0" applyNumberFormat="1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/>
    <xf numFmtId="167" fontId="6" fillId="11" borderId="1" xfId="0" applyNumberFormat="1" applyFont="1" applyFill="1" applyBorder="1" applyAlignment="1">
      <alignment horizontal="center" vertical="center"/>
    </xf>
    <xf numFmtId="164" fontId="6" fillId="11" borderId="1" xfId="0" applyNumberFormat="1" applyFont="1" applyFill="1" applyBorder="1" applyAlignment="1">
      <alignment horizontal="right" vertical="center"/>
    </xf>
    <xf numFmtId="0" fontId="6" fillId="12" borderId="1" xfId="0" applyFont="1" applyFill="1" applyBorder="1" applyAlignment="1">
      <alignment horizontal="left" vertical="center"/>
    </xf>
    <xf numFmtId="0" fontId="6" fillId="12" borderId="1" xfId="0" applyFont="1" applyFill="1" applyBorder="1"/>
    <xf numFmtId="167" fontId="6" fillId="12" borderId="1" xfId="0" applyNumberFormat="1" applyFont="1" applyFill="1" applyBorder="1" applyAlignment="1">
      <alignment horizontal="center" vertical="center"/>
    </xf>
    <xf numFmtId="164" fontId="6" fillId="12" borderId="1" xfId="0" applyNumberFormat="1" applyFont="1" applyFill="1" applyBorder="1" applyAlignment="1">
      <alignment horizontal="right" vertical="center"/>
    </xf>
    <xf numFmtId="167" fontId="2" fillId="4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167" fontId="2" fillId="5" borderId="1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167" fontId="2" fillId="6" borderId="1" xfId="0" applyNumberFormat="1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/>
    </xf>
    <xf numFmtId="167" fontId="2" fillId="7" borderId="1" xfId="0" applyNumberFormat="1" applyFont="1" applyFill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center" vertical="center"/>
    </xf>
    <xf numFmtId="167" fontId="2" fillId="8" borderId="1" xfId="0" applyNumberFormat="1" applyFont="1" applyFill="1" applyBorder="1" applyAlignment="1">
      <alignment horizontal="center" vertical="center"/>
    </xf>
    <xf numFmtId="166" fontId="2" fillId="8" borderId="1" xfId="0" applyNumberFormat="1" applyFont="1" applyFill="1" applyBorder="1" applyAlignment="1">
      <alignment horizontal="center" vertical="center"/>
    </xf>
    <xf numFmtId="166" fontId="5" fillId="9" borderId="1" xfId="0" applyNumberFormat="1" applyFont="1" applyFill="1" applyBorder="1" applyAlignment="1">
      <alignment horizontal="center" vertical="center"/>
    </xf>
    <xf numFmtId="166" fontId="6" fillId="10" borderId="1" xfId="0" applyNumberFormat="1" applyFont="1" applyFill="1" applyBorder="1" applyAlignment="1">
      <alignment horizontal="center" vertical="center"/>
    </xf>
    <xf numFmtId="166" fontId="6" fillId="11" borderId="1" xfId="0" applyNumberFormat="1" applyFont="1" applyFill="1" applyBorder="1" applyAlignment="1">
      <alignment horizontal="center" vertical="center"/>
    </xf>
    <xf numFmtId="166" fontId="6" fillId="1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6" fillId="11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166" fontId="4" fillId="13" borderId="1" xfId="0" applyNumberFormat="1" applyFont="1" applyFill="1" applyBorder="1" applyAlignment="1">
      <alignment horizontal="center" vertical="center"/>
    </xf>
    <xf numFmtId="164" fontId="2" fillId="13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/>
    <xf numFmtId="0" fontId="6" fillId="10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/>
    </xf>
    <xf numFmtId="164" fontId="2" fillId="14" borderId="1" xfId="0" applyNumberFormat="1" applyFont="1" applyFill="1" applyBorder="1" applyAlignment="1">
      <alignment horizontal="right" vertical="center"/>
    </xf>
    <xf numFmtId="166" fontId="2" fillId="1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center" vertical="center"/>
    </xf>
    <xf numFmtId="166" fontId="2" fillId="13" borderId="1" xfId="0" applyNumberFormat="1" applyFont="1" applyFill="1" applyBorder="1" applyAlignment="1">
      <alignment horizontal="center" vertical="center"/>
    </xf>
    <xf numFmtId="164" fontId="4" fillId="1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EAF0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4F7"/>
      <rgbColor rgb="FFD6F0E0"/>
      <rgbColor rgb="FFFDE9D0"/>
      <rgbColor rgb="FF99CCFF"/>
      <rgbColor rgb="FFFF99CC"/>
      <rgbColor rgb="FFCC99FF"/>
      <rgbColor rgb="FFFAD7D7"/>
      <rgbColor rgb="FF2E74B5"/>
      <rgbColor rgb="FF33CCCC"/>
      <rgbColor rgb="FF99CC00"/>
      <rgbColor rgb="FFFFCC00"/>
      <rgbColor rgb="FFC9A227"/>
      <rgbColor rgb="FFFF6600"/>
      <rgbColor rgb="FF666699"/>
      <rgbColor rgb="FF969696"/>
      <rgbColor rgb="FF1A2C52"/>
      <rgbColor rgb="FF339966"/>
      <rgbColor rgb="FF003300"/>
      <rgbColor rgb="FF333300"/>
      <rgbColor rgb="FFB85C00"/>
      <rgbColor rgb="FF993366"/>
      <rgbColor rgb="FF333399"/>
      <rgbColor rgb="FF1A5C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showGridLines="0" tabSelected="1" zoomScaleNormal="100" workbookViewId="0">
      <pane ySplit="9" topLeftCell="A10" activePane="bottomLeft" state="frozen"/>
      <selection pane="bottomLeft" activeCell="H12" sqref="H12"/>
    </sheetView>
  </sheetViews>
  <sheetFormatPr defaultColWidth="8.6328125" defaultRowHeight="14.5" x14ac:dyDescent="0.35"/>
  <cols>
    <col min="1" max="2" width="10" customWidth="1"/>
    <col min="3" max="3" width="11" customWidth="1"/>
    <col min="4" max="5" width="14" customWidth="1"/>
    <col min="6" max="7" width="18" customWidth="1"/>
    <col min="8" max="10" width="10" customWidth="1"/>
    <col min="11" max="11" width="11" customWidth="1"/>
    <col min="12" max="12" width="8" customWidth="1"/>
    <col min="13" max="13" width="16" customWidth="1"/>
    <col min="14" max="14" width="10" customWidth="1"/>
    <col min="15" max="15" width="14" customWidth="1"/>
    <col min="16" max="16" width="17" customWidth="1"/>
  </cols>
  <sheetData>
    <row r="1" spans="1:16" ht="15" customHeight="1" x14ac:dyDescent="0.35">
      <c r="A1" s="1" t="s">
        <v>0</v>
      </c>
      <c r="B1" s="2" t="s">
        <v>1</v>
      </c>
    </row>
    <row r="2" spans="1:16" ht="15" customHeight="1" x14ac:dyDescent="0.35">
      <c r="A2" s="1" t="s">
        <v>2</v>
      </c>
      <c r="B2" s="2" t="s">
        <v>3</v>
      </c>
    </row>
    <row r="3" spans="1:16" ht="15" customHeight="1" x14ac:dyDescent="0.35">
      <c r="A3" s="1" t="s">
        <v>4</v>
      </c>
      <c r="B3" s="2" t="s">
        <v>5</v>
      </c>
    </row>
    <row r="4" spans="1:16" ht="15" customHeight="1" x14ac:dyDescent="0.35">
      <c r="A4" s="1" t="s">
        <v>6</v>
      </c>
      <c r="B4" s="2" t="s">
        <v>7</v>
      </c>
    </row>
    <row r="5" spans="1:16" ht="15" customHeight="1" x14ac:dyDescent="0.35">
      <c r="A5" s="1" t="s">
        <v>8</v>
      </c>
      <c r="B5" s="2" t="s">
        <v>9</v>
      </c>
    </row>
    <row r="6" spans="1:16" ht="15" customHeight="1" x14ac:dyDescent="0.35">
      <c r="A6" s="1" t="s">
        <v>10</v>
      </c>
      <c r="B6" s="2" t="s">
        <v>11</v>
      </c>
    </row>
    <row r="7" spans="1:16" ht="15" customHeight="1" x14ac:dyDescent="0.35">
      <c r="A7" s="1" t="s">
        <v>12</v>
      </c>
      <c r="B7" s="2" t="s">
        <v>13</v>
      </c>
    </row>
    <row r="8" spans="1:16" ht="9.75" customHeight="1" x14ac:dyDescent="0.35"/>
    <row r="9" spans="1:16" ht="43.5" customHeight="1" x14ac:dyDescent="0.35">
      <c r="A9" s="3" t="s">
        <v>14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20</v>
      </c>
      <c r="H9" s="3" t="s">
        <v>21</v>
      </c>
      <c r="I9" s="3" t="s">
        <v>22</v>
      </c>
      <c r="J9" s="3" t="s">
        <v>23</v>
      </c>
      <c r="K9" s="3" t="s">
        <v>24</v>
      </c>
      <c r="L9" s="3" t="s">
        <v>25</v>
      </c>
      <c r="M9" s="3" t="s">
        <v>26</v>
      </c>
      <c r="N9" s="3" t="s">
        <v>27</v>
      </c>
      <c r="O9" s="3" t="s">
        <v>28</v>
      </c>
      <c r="P9" s="3" t="s">
        <v>29</v>
      </c>
    </row>
    <row r="10" spans="1:16" ht="15" customHeight="1" x14ac:dyDescent="0.35">
      <c r="A10" s="4" t="s">
        <v>30</v>
      </c>
      <c r="B10" s="4" t="s">
        <v>31</v>
      </c>
      <c r="C10" s="4" t="s">
        <v>32</v>
      </c>
      <c r="D10" s="4" t="s">
        <v>33</v>
      </c>
      <c r="E10" s="4" t="s">
        <v>34</v>
      </c>
      <c r="F10" s="4" t="s">
        <v>35</v>
      </c>
      <c r="G10" s="4" t="s">
        <v>36</v>
      </c>
      <c r="H10" s="5">
        <v>350</v>
      </c>
      <c r="I10" s="6">
        <v>0.8</v>
      </c>
      <c r="J10" s="7">
        <v>0.12</v>
      </c>
      <c r="K10" s="8">
        <f t="shared" ref="K10:K41" si="0">H10*I10*(1-J10)</f>
        <v>246.4</v>
      </c>
      <c r="L10" s="9">
        <v>18</v>
      </c>
      <c r="M10" s="8">
        <f t="shared" ref="M10:M41" si="1">K10*L10</f>
        <v>4435.2</v>
      </c>
      <c r="N10" s="7">
        <v>0.08</v>
      </c>
      <c r="O10" s="8">
        <f t="shared" ref="O10:O41" si="2">M10*N10</f>
        <v>354.81599999999997</v>
      </c>
      <c r="P10" s="8">
        <f t="shared" ref="P10:P41" si="3">M10-O10</f>
        <v>4080.384</v>
      </c>
    </row>
    <row r="11" spans="1:16" ht="15" customHeight="1" x14ac:dyDescent="0.35">
      <c r="A11" s="4" t="s">
        <v>37</v>
      </c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38</v>
      </c>
      <c r="G11" s="4" t="s">
        <v>39</v>
      </c>
      <c r="H11" s="5">
        <v>185</v>
      </c>
      <c r="I11" s="6">
        <v>0.8</v>
      </c>
      <c r="J11" s="7">
        <v>0.12</v>
      </c>
      <c r="K11" s="8">
        <f t="shared" si="0"/>
        <v>130.24</v>
      </c>
      <c r="L11" s="9">
        <v>95</v>
      </c>
      <c r="M11" s="8">
        <f t="shared" si="1"/>
        <v>12372.800000000001</v>
      </c>
      <c r="N11" s="7">
        <v>0.08</v>
      </c>
      <c r="O11" s="8">
        <f t="shared" si="2"/>
        <v>989.82400000000007</v>
      </c>
      <c r="P11" s="8">
        <f t="shared" si="3"/>
        <v>11382.976000000001</v>
      </c>
    </row>
    <row r="12" spans="1:16" ht="15" customHeight="1" x14ac:dyDescent="0.35">
      <c r="A12" s="4" t="s">
        <v>40</v>
      </c>
      <c r="B12" s="4" t="s">
        <v>31</v>
      </c>
      <c r="C12" s="4" t="s">
        <v>32</v>
      </c>
      <c r="D12" s="4" t="s">
        <v>33</v>
      </c>
      <c r="E12" s="4" t="s">
        <v>34</v>
      </c>
      <c r="F12" s="4" t="s">
        <v>41</v>
      </c>
      <c r="G12" s="4" t="s">
        <v>42</v>
      </c>
      <c r="H12" s="5">
        <v>95</v>
      </c>
      <c r="I12" s="6">
        <v>0.8</v>
      </c>
      <c r="J12" s="7">
        <v>0.12</v>
      </c>
      <c r="K12" s="8">
        <f t="shared" si="0"/>
        <v>66.88</v>
      </c>
      <c r="L12" s="9">
        <v>210</v>
      </c>
      <c r="M12" s="8">
        <f t="shared" si="1"/>
        <v>14044.8</v>
      </c>
      <c r="N12" s="7">
        <v>0.08</v>
      </c>
      <c r="O12" s="8">
        <f t="shared" si="2"/>
        <v>1123.5840000000001</v>
      </c>
      <c r="P12" s="8">
        <f t="shared" si="3"/>
        <v>12921.215999999999</v>
      </c>
    </row>
    <row r="13" spans="1:16" ht="15" customHeight="1" x14ac:dyDescent="0.35">
      <c r="A13" s="4" t="s">
        <v>43</v>
      </c>
      <c r="B13" s="4" t="s">
        <v>31</v>
      </c>
      <c r="C13" s="4" t="s">
        <v>32</v>
      </c>
      <c r="D13" s="4" t="s">
        <v>44</v>
      </c>
      <c r="E13" s="4" t="s">
        <v>45</v>
      </c>
      <c r="F13" s="4" t="s">
        <v>38</v>
      </c>
      <c r="G13" s="4" t="s">
        <v>39</v>
      </c>
      <c r="H13" s="5">
        <v>185</v>
      </c>
      <c r="I13" s="6">
        <v>0.9</v>
      </c>
      <c r="J13" s="7">
        <v>0.12</v>
      </c>
      <c r="K13" s="8">
        <f t="shared" si="0"/>
        <v>146.52000000000001</v>
      </c>
      <c r="L13" s="9">
        <v>140</v>
      </c>
      <c r="M13" s="8">
        <f t="shared" si="1"/>
        <v>20512.800000000003</v>
      </c>
      <c r="N13" s="7">
        <v>0.08</v>
      </c>
      <c r="O13" s="8">
        <f t="shared" si="2"/>
        <v>1641.0240000000003</v>
      </c>
      <c r="P13" s="8">
        <f t="shared" si="3"/>
        <v>18871.776000000002</v>
      </c>
    </row>
    <row r="14" spans="1:16" ht="15" customHeight="1" x14ac:dyDescent="0.35">
      <c r="A14" s="4" t="s">
        <v>46</v>
      </c>
      <c r="B14" s="4" t="s">
        <v>31</v>
      </c>
      <c r="C14" s="4" t="s">
        <v>32</v>
      </c>
      <c r="D14" s="4" t="s">
        <v>44</v>
      </c>
      <c r="E14" s="4" t="s">
        <v>45</v>
      </c>
      <c r="F14" s="4" t="s">
        <v>41</v>
      </c>
      <c r="G14" s="4" t="s">
        <v>42</v>
      </c>
      <c r="H14" s="5">
        <v>95</v>
      </c>
      <c r="I14" s="6">
        <v>0.9</v>
      </c>
      <c r="J14" s="7">
        <v>0.12</v>
      </c>
      <c r="K14" s="8">
        <f t="shared" si="0"/>
        <v>75.239999999999995</v>
      </c>
      <c r="L14" s="9">
        <v>280</v>
      </c>
      <c r="M14" s="8">
        <f t="shared" si="1"/>
        <v>21067.199999999997</v>
      </c>
      <c r="N14" s="7">
        <v>0.08</v>
      </c>
      <c r="O14" s="8">
        <f t="shared" si="2"/>
        <v>1685.3759999999997</v>
      </c>
      <c r="P14" s="8">
        <f t="shared" si="3"/>
        <v>19381.823999999997</v>
      </c>
    </row>
    <row r="15" spans="1:16" ht="15" customHeight="1" x14ac:dyDescent="0.35">
      <c r="A15" s="4" t="s">
        <v>47</v>
      </c>
      <c r="B15" s="4" t="s">
        <v>31</v>
      </c>
      <c r="C15" s="4" t="s">
        <v>32</v>
      </c>
      <c r="D15" s="4" t="s">
        <v>44</v>
      </c>
      <c r="E15" s="4" t="s">
        <v>45</v>
      </c>
      <c r="F15" s="4" t="s">
        <v>48</v>
      </c>
      <c r="G15" s="4" t="s">
        <v>49</v>
      </c>
      <c r="H15" s="5">
        <v>55</v>
      </c>
      <c r="I15" s="6">
        <v>0.9</v>
      </c>
      <c r="J15" s="7">
        <v>0.12</v>
      </c>
      <c r="K15" s="8">
        <f t="shared" si="0"/>
        <v>43.56</v>
      </c>
      <c r="L15" s="9">
        <v>320</v>
      </c>
      <c r="M15" s="8">
        <f t="shared" si="1"/>
        <v>13939.2</v>
      </c>
      <c r="N15" s="7">
        <v>0.08</v>
      </c>
      <c r="O15" s="8">
        <f t="shared" si="2"/>
        <v>1115.1360000000002</v>
      </c>
      <c r="P15" s="8">
        <f t="shared" si="3"/>
        <v>12824.064</v>
      </c>
    </row>
    <row r="16" spans="1:16" ht="15" customHeight="1" x14ac:dyDescent="0.35">
      <c r="A16" s="10" t="s">
        <v>50</v>
      </c>
      <c r="B16" s="10" t="s">
        <v>31</v>
      </c>
      <c r="C16" s="10" t="s">
        <v>32</v>
      </c>
      <c r="D16" s="10" t="s">
        <v>51</v>
      </c>
      <c r="E16" s="10" t="s">
        <v>52</v>
      </c>
      <c r="F16" s="10" t="s">
        <v>38</v>
      </c>
      <c r="G16" s="10" t="s">
        <v>39</v>
      </c>
      <c r="H16" s="11">
        <v>185</v>
      </c>
      <c r="I16" s="12">
        <v>1</v>
      </c>
      <c r="J16" s="13">
        <v>0.12</v>
      </c>
      <c r="K16" s="14">
        <f t="shared" si="0"/>
        <v>162.80000000000001</v>
      </c>
      <c r="L16" s="15">
        <v>180</v>
      </c>
      <c r="M16" s="14">
        <f t="shared" si="1"/>
        <v>29304.000000000004</v>
      </c>
      <c r="N16" s="13">
        <v>0.1</v>
      </c>
      <c r="O16" s="14">
        <f t="shared" si="2"/>
        <v>2930.4000000000005</v>
      </c>
      <c r="P16" s="14">
        <f t="shared" si="3"/>
        <v>26373.600000000002</v>
      </c>
    </row>
    <row r="17" spans="1:16" ht="15" customHeight="1" x14ac:dyDescent="0.35">
      <c r="A17" s="10" t="s">
        <v>53</v>
      </c>
      <c r="B17" s="10" t="s">
        <v>31</v>
      </c>
      <c r="C17" s="10" t="s">
        <v>32</v>
      </c>
      <c r="D17" s="10" t="s">
        <v>51</v>
      </c>
      <c r="E17" s="10" t="s">
        <v>52</v>
      </c>
      <c r="F17" s="10" t="s">
        <v>41</v>
      </c>
      <c r="G17" s="10" t="s">
        <v>42</v>
      </c>
      <c r="H17" s="11">
        <v>95</v>
      </c>
      <c r="I17" s="12">
        <v>1</v>
      </c>
      <c r="J17" s="13">
        <v>0.12</v>
      </c>
      <c r="K17" s="14">
        <f t="shared" si="0"/>
        <v>83.6</v>
      </c>
      <c r="L17" s="15">
        <v>350</v>
      </c>
      <c r="M17" s="14">
        <f t="shared" si="1"/>
        <v>29259.999999999996</v>
      </c>
      <c r="N17" s="13">
        <v>0.1</v>
      </c>
      <c r="O17" s="14">
        <f t="shared" si="2"/>
        <v>2926</v>
      </c>
      <c r="P17" s="14">
        <f t="shared" si="3"/>
        <v>26333.999999999996</v>
      </c>
    </row>
    <row r="18" spans="1:16" ht="15" customHeight="1" x14ac:dyDescent="0.35">
      <c r="A18" s="10" t="s">
        <v>54</v>
      </c>
      <c r="B18" s="10" t="s">
        <v>31</v>
      </c>
      <c r="C18" s="10" t="s">
        <v>32</v>
      </c>
      <c r="D18" s="10" t="s">
        <v>51</v>
      </c>
      <c r="E18" s="10" t="s">
        <v>52</v>
      </c>
      <c r="F18" s="10" t="s">
        <v>48</v>
      </c>
      <c r="G18" s="10" t="s">
        <v>49</v>
      </c>
      <c r="H18" s="11">
        <v>55</v>
      </c>
      <c r="I18" s="12">
        <v>1</v>
      </c>
      <c r="J18" s="13">
        <v>0.12</v>
      </c>
      <c r="K18" s="14">
        <f t="shared" si="0"/>
        <v>48.4</v>
      </c>
      <c r="L18" s="15">
        <v>420</v>
      </c>
      <c r="M18" s="14">
        <f t="shared" si="1"/>
        <v>20328</v>
      </c>
      <c r="N18" s="13">
        <v>0.1</v>
      </c>
      <c r="O18" s="14">
        <f t="shared" si="2"/>
        <v>2032.8000000000002</v>
      </c>
      <c r="P18" s="14">
        <f t="shared" si="3"/>
        <v>18295.2</v>
      </c>
    </row>
    <row r="19" spans="1:16" ht="15" customHeight="1" x14ac:dyDescent="0.35">
      <c r="A19" s="16" t="s">
        <v>55</v>
      </c>
      <c r="B19" s="16" t="s">
        <v>31</v>
      </c>
      <c r="C19" s="16" t="s">
        <v>32</v>
      </c>
      <c r="D19" s="16" t="s">
        <v>56</v>
      </c>
      <c r="E19" s="16" t="s">
        <v>57</v>
      </c>
      <c r="F19" s="16" t="s">
        <v>41</v>
      </c>
      <c r="G19" s="16" t="s">
        <v>42</v>
      </c>
      <c r="H19" s="17">
        <v>95</v>
      </c>
      <c r="I19" s="18">
        <v>1.1000000000000001</v>
      </c>
      <c r="J19" s="19">
        <v>0.12</v>
      </c>
      <c r="K19" s="20">
        <f t="shared" si="0"/>
        <v>91.960000000000008</v>
      </c>
      <c r="L19" s="21">
        <v>190</v>
      </c>
      <c r="M19" s="20">
        <f t="shared" si="1"/>
        <v>17472.400000000001</v>
      </c>
      <c r="N19" s="19">
        <v>0.1</v>
      </c>
      <c r="O19" s="20">
        <f t="shared" si="2"/>
        <v>1747.2400000000002</v>
      </c>
      <c r="P19" s="20">
        <f t="shared" si="3"/>
        <v>15725.160000000002</v>
      </c>
    </row>
    <row r="20" spans="1:16" ht="15" customHeight="1" x14ac:dyDescent="0.35">
      <c r="A20" s="16" t="s">
        <v>58</v>
      </c>
      <c r="B20" s="16" t="s">
        <v>31</v>
      </c>
      <c r="C20" s="16" t="s">
        <v>32</v>
      </c>
      <c r="D20" s="16" t="s">
        <v>56</v>
      </c>
      <c r="E20" s="16" t="s">
        <v>57</v>
      </c>
      <c r="F20" s="16" t="s">
        <v>48</v>
      </c>
      <c r="G20" s="16" t="s">
        <v>49</v>
      </c>
      <c r="H20" s="17">
        <v>55</v>
      </c>
      <c r="I20" s="18">
        <v>1.1000000000000001</v>
      </c>
      <c r="J20" s="19">
        <v>0.12</v>
      </c>
      <c r="K20" s="20">
        <f t="shared" si="0"/>
        <v>53.240000000000009</v>
      </c>
      <c r="L20" s="21">
        <v>240</v>
      </c>
      <c r="M20" s="20">
        <f t="shared" si="1"/>
        <v>12777.600000000002</v>
      </c>
      <c r="N20" s="19">
        <v>0.1</v>
      </c>
      <c r="O20" s="20">
        <f t="shared" si="2"/>
        <v>1277.7600000000002</v>
      </c>
      <c r="P20" s="20">
        <f t="shared" si="3"/>
        <v>11499.840000000002</v>
      </c>
    </row>
    <row r="21" spans="1:16" ht="15" customHeight="1" x14ac:dyDescent="0.35">
      <c r="A21" s="22" t="s">
        <v>59</v>
      </c>
      <c r="B21" s="22" t="s">
        <v>31</v>
      </c>
      <c r="C21" s="22" t="s">
        <v>32</v>
      </c>
      <c r="D21" s="22" t="s">
        <v>60</v>
      </c>
      <c r="E21" s="22" t="s">
        <v>61</v>
      </c>
      <c r="F21" s="22" t="s">
        <v>48</v>
      </c>
      <c r="G21" s="22" t="s">
        <v>49</v>
      </c>
      <c r="H21" s="23">
        <v>55</v>
      </c>
      <c r="I21" s="24">
        <v>1.2</v>
      </c>
      <c r="J21" s="25">
        <v>0.12</v>
      </c>
      <c r="K21" s="26">
        <f t="shared" si="0"/>
        <v>58.08</v>
      </c>
      <c r="L21" s="27">
        <v>80</v>
      </c>
      <c r="M21" s="26">
        <f t="shared" si="1"/>
        <v>4646.3999999999996</v>
      </c>
      <c r="N21" s="25">
        <v>0.12</v>
      </c>
      <c r="O21" s="26">
        <f t="shared" si="2"/>
        <v>557.56799999999998</v>
      </c>
      <c r="P21" s="26">
        <f t="shared" si="3"/>
        <v>4088.8319999999994</v>
      </c>
    </row>
    <row r="22" spans="1:16" ht="15" customHeight="1" x14ac:dyDescent="0.35">
      <c r="A22" s="28" t="s">
        <v>62</v>
      </c>
      <c r="B22" s="28" t="s">
        <v>31</v>
      </c>
      <c r="C22" s="28" t="s">
        <v>32</v>
      </c>
      <c r="D22" s="28" t="s">
        <v>63</v>
      </c>
      <c r="E22" s="28" t="s">
        <v>64</v>
      </c>
      <c r="F22" s="28" t="s">
        <v>48</v>
      </c>
      <c r="G22" s="28" t="s">
        <v>49</v>
      </c>
      <c r="H22" s="29">
        <v>55</v>
      </c>
      <c r="I22" s="30">
        <v>1.35</v>
      </c>
      <c r="J22" s="31">
        <v>0.12</v>
      </c>
      <c r="K22" s="32">
        <f t="shared" si="0"/>
        <v>65.34</v>
      </c>
      <c r="L22" s="33">
        <v>45</v>
      </c>
      <c r="M22" s="32">
        <f t="shared" si="1"/>
        <v>2940.3</v>
      </c>
      <c r="N22" s="31">
        <v>0.12</v>
      </c>
      <c r="O22" s="32">
        <f t="shared" si="2"/>
        <v>352.83600000000001</v>
      </c>
      <c r="P22" s="32">
        <f t="shared" si="3"/>
        <v>2587.4639999999999</v>
      </c>
    </row>
    <row r="23" spans="1:16" ht="15" customHeight="1" x14ac:dyDescent="0.35">
      <c r="A23" s="4" t="s">
        <v>65</v>
      </c>
      <c r="B23" s="4" t="s">
        <v>31</v>
      </c>
      <c r="C23" s="4" t="s">
        <v>66</v>
      </c>
      <c r="D23" s="4" t="s">
        <v>33</v>
      </c>
      <c r="E23" s="4" t="s">
        <v>34</v>
      </c>
      <c r="F23" s="4" t="s">
        <v>41</v>
      </c>
      <c r="G23" s="4" t="s">
        <v>42</v>
      </c>
      <c r="H23" s="5">
        <v>95</v>
      </c>
      <c r="I23" s="6">
        <v>0.8</v>
      </c>
      <c r="J23" s="7">
        <v>0</v>
      </c>
      <c r="K23" s="8">
        <f t="shared" si="0"/>
        <v>76</v>
      </c>
      <c r="L23" s="9">
        <v>180</v>
      </c>
      <c r="M23" s="8">
        <f t="shared" si="1"/>
        <v>13680</v>
      </c>
      <c r="N23" s="7">
        <v>0.08</v>
      </c>
      <c r="O23" s="8">
        <f t="shared" si="2"/>
        <v>1094.4000000000001</v>
      </c>
      <c r="P23" s="8">
        <f t="shared" si="3"/>
        <v>12585.6</v>
      </c>
    </row>
    <row r="24" spans="1:16" ht="15" customHeight="1" x14ac:dyDescent="0.35">
      <c r="A24" s="4" t="s">
        <v>67</v>
      </c>
      <c r="B24" s="4" t="s">
        <v>31</v>
      </c>
      <c r="C24" s="4" t="s">
        <v>66</v>
      </c>
      <c r="D24" s="4" t="s">
        <v>33</v>
      </c>
      <c r="E24" s="4" t="s">
        <v>34</v>
      </c>
      <c r="F24" s="4" t="s">
        <v>48</v>
      </c>
      <c r="G24" s="4" t="s">
        <v>49</v>
      </c>
      <c r="H24" s="5">
        <v>55</v>
      </c>
      <c r="I24" s="6">
        <v>0.8</v>
      </c>
      <c r="J24" s="7">
        <v>0</v>
      </c>
      <c r="K24" s="8">
        <f t="shared" si="0"/>
        <v>44</v>
      </c>
      <c r="L24" s="9">
        <v>390</v>
      </c>
      <c r="M24" s="8">
        <f t="shared" si="1"/>
        <v>17160</v>
      </c>
      <c r="N24" s="7">
        <v>0.08</v>
      </c>
      <c r="O24" s="8">
        <f t="shared" si="2"/>
        <v>1372.8</v>
      </c>
      <c r="P24" s="8">
        <f t="shared" si="3"/>
        <v>15787.2</v>
      </c>
    </row>
    <row r="25" spans="1:16" ht="15" customHeight="1" x14ac:dyDescent="0.35">
      <c r="A25" s="4" t="s">
        <v>68</v>
      </c>
      <c r="B25" s="4" t="s">
        <v>31</v>
      </c>
      <c r="C25" s="4" t="s">
        <v>66</v>
      </c>
      <c r="D25" s="4" t="s">
        <v>33</v>
      </c>
      <c r="E25" s="4" t="s">
        <v>34</v>
      </c>
      <c r="F25" s="4" t="s">
        <v>69</v>
      </c>
      <c r="G25" s="4" t="s">
        <v>70</v>
      </c>
      <c r="H25" s="5">
        <v>35</v>
      </c>
      <c r="I25" s="6">
        <v>0.8</v>
      </c>
      <c r="J25" s="7">
        <v>0</v>
      </c>
      <c r="K25" s="8">
        <f t="shared" si="0"/>
        <v>28</v>
      </c>
      <c r="L25" s="9">
        <v>520</v>
      </c>
      <c r="M25" s="8">
        <f t="shared" si="1"/>
        <v>14560</v>
      </c>
      <c r="N25" s="7">
        <v>0.08</v>
      </c>
      <c r="O25" s="8">
        <f t="shared" si="2"/>
        <v>1164.8</v>
      </c>
      <c r="P25" s="8">
        <f t="shared" si="3"/>
        <v>13395.2</v>
      </c>
    </row>
    <row r="26" spans="1:16" ht="15" customHeight="1" x14ac:dyDescent="0.35">
      <c r="A26" s="4" t="s">
        <v>71</v>
      </c>
      <c r="B26" s="4" t="s">
        <v>31</v>
      </c>
      <c r="C26" s="4" t="s">
        <v>66</v>
      </c>
      <c r="D26" s="4" t="s">
        <v>44</v>
      </c>
      <c r="E26" s="4" t="s">
        <v>45</v>
      </c>
      <c r="F26" s="4" t="s">
        <v>35</v>
      </c>
      <c r="G26" s="4" t="s">
        <v>36</v>
      </c>
      <c r="H26" s="5">
        <v>350</v>
      </c>
      <c r="I26" s="6">
        <v>0.9</v>
      </c>
      <c r="J26" s="7">
        <v>0</v>
      </c>
      <c r="K26" s="8">
        <f t="shared" si="0"/>
        <v>315</v>
      </c>
      <c r="L26" s="9">
        <v>12</v>
      </c>
      <c r="M26" s="8">
        <f t="shared" si="1"/>
        <v>3780</v>
      </c>
      <c r="N26" s="7">
        <v>0.08</v>
      </c>
      <c r="O26" s="8">
        <f t="shared" si="2"/>
        <v>302.40000000000003</v>
      </c>
      <c r="P26" s="8">
        <f t="shared" si="3"/>
        <v>3477.6</v>
      </c>
    </row>
    <row r="27" spans="1:16" ht="15" customHeight="1" x14ac:dyDescent="0.35">
      <c r="A27" s="4" t="s">
        <v>72</v>
      </c>
      <c r="B27" s="4" t="s">
        <v>31</v>
      </c>
      <c r="C27" s="4" t="s">
        <v>66</v>
      </c>
      <c r="D27" s="4" t="s">
        <v>44</v>
      </c>
      <c r="E27" s="4" t="s">
        <v>45</v>
      </c>
      <c r="F27" s="4" t="s">
        <v>41</v>
      </c>
      <c r="G27" s="4" t="s">
        <v>42</v>
      </c>
      <c r="H27" s="5">
        <v>95</v>
      </c>
      <c r="I27" s="6">
        <v>0.9</v>
      </c>
      <c r="J27" s="7">
        <v>0</v>
      </c>
      <c r="K27" s="8">
        <f t="shared" si="0"/>
        <v>85.5</v>
      </c>
      <c r="L27" s="9">
        <v>310</v>
      </c>
      <c r="M27" s="8">
        <f t="shared" si="1"/>
        <v>26505</v>
      </c>
      <c r="N27" s="7">
        <v>0.08</v>
      </c>
      <c r="O27" s="8">
        <f t="shared" si="2"/>
        <v>2120.4</v>
      </c>
      <c r="P27" s="8">
        <f t="shared" si="3"/>
        <v>24384.6</v>
      </c>
    </row>
    <row r="28" spans="1:16" ht="15" customHeight="1" x14ac:dyDescent="0.35">
      <c r="A28" s="4" t="s">
        <v>73</v>
      </c>
      <c r="B28" s="4" t="s">
        <v>31</v>
      </c>
      <c r="C28" s="4" t="s">
        <v>66</v>
      </c>
      <c r="D28" s="4" t="s">
        <v>44</v>
      </c>
      <c r="E28" s="4" t="s">
        <v>45</v>
      </c>
      <c r="F28" s="4" t="s">
        <v>48</v>
      </c>
      <c r="G28" s="4" t="s">
        <v>49</v>
      </c>
      <c r="H28" s="5">
        <v>55</v>
      </c>
      <c r="I28" s="6">
        <v>0.9</v>
      </c>
      <c r="J28" s="7">
        <v>0</v>
      </c>
      <c r="K28" s="8">
        <f t="shared" si="0"/>
        <v>49.5</v>
      </c>
      <c r="L28" s="9">
        <v>480</v>
      </c>
      <c r="M28" s="8">
        <f t="shared" si="1"/>
        <v>23760</v>
      </c>
      <c r="N28" s="7">
        <v>0.08</v>
      </c>
      <c r="O28" s="8">
        <f t="shared" si="2"/>
        <v>1900.8</v>
      </c>
      <c r="P28" s="8">
        <f t="shared" si="3"/>
        <v>21859.200000000001</v>
      </c>
    </row>
    <row r="29" spans="1:16" ht="15" customHeight="1" x14ac:dyDescent="0.35">
      <c r="A29" s="4" t="s">
        <v>74</v>
      </c>
      <c r="B29" s="4" t="s">
        <v>31</v>
      </c>
      <c r="C29" s="4" t="s">
        <v>66</v>
      </c>
      <c r="D29" s="4" t="s">
        <v>44</v>
      </c>
      <c r="E29" s="4" t="s">
        <v>45</v>
      </c>
      <c r="F29" s="4" t="s">
        <v>69</v>
      </c>
      <c r="G29" s="4" t="s">
        <v>70</v>
      </c>
      <c r="H29" s="5">
        <v>35</v>
      </c>
      <c r="I29" s="6">
        <v>0.9</v>
      </c>
      <c r="J29" s="7">
        <v>0</v>
      </c>
      <c r="K29" s="8">
        <f t="shared" si="0"/>
        <v>31.5</v>
      </c>
      <c r="L29" s="9">
        <v>650</v>
      </c>
      <c r="M29" s="8">
        <f t="shared" si="1"/>
        <v>20475</v>
      </c>
      <c r="N29" s="7">
        <v>0.08</v>
      </c>
      <c r="O29" s="8">
        <f t="shared" si="2"/>
        <v>1638</v>
      </c>
      <c r="P29" s="8">
        <f t="shared" si="3"/>
        <v>18837</v>
      </c>
    </row>
    <row r="30" spans="1:16" ht="15" customHeight="1" x14ac:dyDescent="0.35">
      <c r="A30" s="10" t="s">
        <v>75</v>
      </c>
      <c r="B30" s="10" t="s">
        <v>31</v>
      </c>
      <c r="C30" s="10" t="s">
        <v>66</v>
      </c>
      <c r="D30" s="10" t="s">
        <v>51</v>
      </c>
      <c r="E30" s="10" t="s">
        <v>52</v>
      </c>
      <c r="F30" s="10" t="s">
        <v>35</v>
      </c>
      <c r="G30" s="10" t="s">
        <v>36</v>
      </c>
      <c r="H30" s="11">
        <v>350</v>
      </c>
      <c r="I30" s="12">
        <v>1</v>
      </c>
      <c r="J30" s="13">
        <v>0</v>
      </c>
      <c r="K30" s="14">
        <f t="shared" si="0"/>
        <v>350</v>
      </c>
      <c r="L30" s="15">
        <v>20</v>
      </c>
      <c r="M30" s="14">
        <f t="shared" si="1"/>
        <v>7000</v>
      </c>
      <c r="N30" s="13">
        <v>0.1</v>
      </c>
      <c r="O30" s="14">
        <f t="shared" si="2"/>
        <v>700</v>
      </c>
      <c r="P30" s="14">
        <f t="shared" si="3"/>
        <v>6300</v>
      </c>
    </row>
    <row r="31" spans="1:16" ht="15" customHeight="1" x14ac:dyDescent="0.35">
      <c r="A31" s="10" t="s">
        <v>76</v>
      </c>
      <c r="B31" s="10" t="s">
        <v>31</v>
      </c>
      <c r="C31" s="10" t="s">
        <v>66</v>
      </c>
      <c r="D31" s="10" t="s">
        <v>51</v>
      </c>
      <c r="E31" s="10" t="s">
        <v>52</v>
      </c>
      <c r="F31" s="10" t="s">
        <v>38</v>
      </c>
      <c r="G31" s="10" t="s">
        <v>39</v>
      </c>
      <c r="H31" s="11">
        <v>185</v>
      </c>
      <c r="I31" s="12">
        <v>1</v>
      </c>
      <c r="J31" s="13">
        <v>0</v>
      </c>
      <c r="K31" s="14">
        <f t="shared" si="0"/>
        <v>185</v>
      </c>
      <c r="L31" s="15">
        <v>220</v>
      </c>
      <c r="M31" s="14">
        <f t="shared" si="1"/>
        <v>40700</v>
      </c>
      <c r="N31" s="13">
        <v>0.1</v>
      </c>
      <c r="O31" s="14">
        <f t="shared" si="2"/>
        <v>4070</v>
      </c>
      <c r="P31" s="14">
        <f t="shared" si="3"/>
        <v>36630</v>
      </c>
    </row>
    <row r="32" spans="1:16" ht="15" customHeight="1" x14ac:dyDescent="0.35">
      <c r="A32" s="10" t="s">
        <v>77</v>
      </c>
      <c r="B32" s="10" t="s">
        <v>31</v>
      </c>
      <c r="C32" s="10" t="s">
        <v>66</v>
      </c>
      <c r="D32" s="10" t="s">
        <v>51</v>
      </c>
      <c r="E32" s="10" t="s">
        <v>52</v>
      </c>
      <c r="F32" s="10" t="s">
        <v>41</v>
      </c>
      <c r="G32" s="10" t="s">
        <v>42</v>
      </c>
      <c r="H32" s="11">
        <v>95</v>
      </c>
      <c r="I32" s="12">
        <v>1</v>
      </c>
      <c r="J32" s="13">
        <v>0</v>
      </c>
      <c r="K32" s="14">
        <f t="shared" si="0"/>
        <v>95</v>
      </c>
      <c r="L32" s="15">
        <v>410</v>
      </c>
      <c r="M32" s="14">
        <f t="shared" si="1"/>
        <v>38950</v>
      </c>
      <c r="N32" s="13">
        <v>0.1</v>
      </c>
      <c r="O32" s="14">
        <f t="shared" si="2"/>
        <v>3895</v>
      </c>
      <c r="P32" s="14">
        <f t="shared" si="3"/>
        <v>35055</v>
      </c>
    </row>
    <row r="33" spans="1:16" ht="15" customHeight="1" x14ac:dyDescent="0.35">
      <c r="A33" s="10" t="s">
        <v>78</v>
      </c>
      <c r="B33" s="10" t="s">
        <v>31</v>
      </c>
      <c r="C33" s="10" t="s">
        <v>66</v>
      </c>
      <c r="D33" s="10" t="s">
        <v>51</v>
      </c>
      <c r="E33" s="10" t="s">
        <v>52</v>
      </c>
      <c r="F33" s="10" t="s">
        <v>48</v>
      </c>
      <c r="G33" s="10" t="s">
        <v>49</v>
      </c>
      <c r="H33" s="11">
        <v>55</v>
      </c>
      <c r="I33" s="12">
        <v>1</v>
      </c>
      <c r="J33" s="13">
        <v>0</v>
      </c>
      <c r="K33" s="14">
        <f t="shared" si="0"/>
        <v>55</v>
      </c>
      <c r="L33" s="15">
        <v>560</v>
      </c>
      <c r="M33" s="14">
        <f t="shared" si="1"/>
        <v>30800</v>
      </c>
      <c r="N33" s="13">
        <v>0.1</v>
      </c>
      <c r="O33" s="14">
        <f t="shared" si="2"/>
        <v>3080</v>
      </c>
      <c r="P33" s="14">
        <f t="shared" si="3"/>
        <v>27720</v>
      </c>
    </row>
    <row r="34" spans="1:16" ht="15" customHeight="1" x14ac:dyDescent="0.35">
      <c r="A34" s="10" t="s">
        <v>79</v>
      </c>
      <c r="B34" s="10" t="s">
        <v>31</v>
      </c>
      <c r="C34" s="10" t="s">
        <v>66</v>
      </c>
      <c r="D34" s="10" t="s">
        <v>51</v>
      </c>
      <c r="E34" s="10" t="s">
        <v>52</v>
      </c>
      <c r="F34" s="10" t="s">
        <v>69</v>
      </c>
      <c r="G34" s="10" t="s">
        <v>70</v>
      </c>
      <c r="H34" s="11">
        <v>35</v>
      </c>
      <c r="I34" s="12">
        <v>1</v>
      </c>
      <c r="J34" s="13">
        <v>0</v>
      </c>
      <c r="K34" s="14">
        <f t="shared" si="0"/>
        <v>35</v>
      </c>
      <c r="L34" s="15">
        <v>740</v>
      </c>
      <c r="M34" s="14">
        <f t="shared" si="1"/>
        <v>25900</v>
      </c>
      <c r="N34" s="13">
        <v>0.1</v>
      </c>
      <c r="O34" s="14">
        <f t="shared" si="2"/>
        <v>2590</v>
      </c>
      <c r="P34" s="14">
        <f t="shared" si="3"/>
        <v>23310</v>
      </c>
    </row>
    <row r="35" spans="1:16" ht="15" customHeight="1" x14ac:dyDescent="0.35">
      <c r="A35" s="10" t="s">
        <v>80</v>
      </c>
      <c r="B35" s="10" t="s">
        <v>31</v>
      </c>
      <c r="C35" s="10" t="s">
        <v>66</v>
      </c>
      <c r="D35" s="10" t="s">
        <v>51</v>
      </c>
      <c r="E35" s="10" t="s">
        <v>52</v>
      </c>
      <c r="F35" s="10" t="s">
        <v>81</v>
      </c>
      <c r="G35" s="10" t="s">
        <v>82</v>
      </c>
      <c r="H35" s="11">
        <v>25</v>
      </c>
      <c r="I35" s="12">
        <v>1</v>
      </c>
      <c r="J35" s="13">
        <v>0</v>
      </c>
      <c r="K35" s="14">
        <f t="shared" si="0"/>
        <v>25</v>
      </c>
      <c r="L35" s="15">
        <v>180</v>
      </c>
      <c r="M35" s="14">
        <f t="shared" si="1"/>
        <v>4500</v>
      </c>
      <c r="N35" s="13">
        <v>0.1</v>
      </c>
      <c r="O35" s="14">
        <f t="shared" si="2"/>
        <v>450</v>
      </c>
      <c r="P35" s="14">
        <f t="shared" si="3"/>
        <v>4050</v>
      </c>
    </row>
    <row r="36" spans="1:16" ht="15" customHeight="1" x14ac:dyDescent="0.35">
      <c r="A36" s="16" t="s">
        <v>83</v>
      </c>
      <c r="B36" s="16" t="s">
        <v>31</v>
      </c>
      <c r="C36" s="16" t="s">
        <v>66</v>
      </c>
      <c r="D36" s="16" t="s">
        <v>56</v>
      </c>
      <c r="E36" s="16" t="s">
        <v>57</v>
      </c>
      <c r="F36" s="16" t="s">
        <v>38</v>
      </c>
      <c r="G36" s="16" t="s">
        <v>39</v>
      </c>
      <c r="H36" s="17">
        <v>185</v>
      </c>
      <c r="I36" s="18">
        <v>1.1000000000000001</v>
      </c>
      <c r="J36" s="19">
        <v>0</v>
      </c>
      <c r="K36" s="20">
        <f t="shared" si="0"/>
        <v>203.50000000000003</v>
      </c>
      <c r="L36" s="21">
        <v>110</v>
      </c>
      <c r="M36" s="20">
        <f t="shared" si="1"/>
        <v>22385.000000000004</v>
      </c>
      <c r="N36" s="19">
        <v>0.1</v>
      </c>
      <c r="O36" s="20">
        <f t="shared" si="2"/>
        <v>2238.5000000000005</v>
      </c>
      <c r="P36" s="20">
        <f t="shared" si="3"/>
        <v>20146.500000000004</v>
      </c>
    </row>
    <row r="37" spans="1:16" ht="15" customHeight="1" x14ac:dyDescent="0.35">
      <c r="A37" s="16" t="s">
        <v>84</v>
      </c>
      <c r="B37" s="16" t="s">
        <v>31</v>
      </c>
      <c r="C37" s="16" t="s">
        <v>66</v>
      </c>
      <c r="D37" s="16" t="s">
        <v>56</v>
      </c>
      <c r="E37" s="16" t="s">
        <v>57</v>
      </c>
      <c r="F37" s="16" t="s">
        <v>41</v>
      </c>
      <c r="G37" s="16" t="s">
        <v>42</v>
      </c>
      <c r="H37" s="17">
        <v>95</v>
      </c>
      <c r="I37" s="18">
        <v>1.1000000000000001</v>
      </c>
      <c r="J37" s="19">
        <v>0</v>
      </c>
      <c r="K37" s="20">
        <f t="shared" si="0"/>
        <v>104.50000000000001</v>
      </c>
      <c r="L37" s="21">
        <v>230</v>
      </c>
      <c r="M37" s="20">
        <f t="shared" si="1"/>
        <v>24035.000000000004</v>
      </c>
      <c r="N37" s="19">
        <v>0.1</v>
      </c>
      <c r="O37" s="20">
        <f t="shared" si="2"/>
        <v>2403.5000000000005</v>
      </c>
      <c r="P37" s="20">
        <f t="shared" si="3"/>
        <v>21631.500000000004</v>
      </c>
    </row>
    <row r="38" spans="1:16" ht="15" customHeight="1" x14ac:dyDescent="0.35">
      <c r="A38" s="16" t="s">
        <v>85</v>
      </c>
      <c r="B38" s="16" t="s">
        <v>31</v>
      </c>
      <c r="C38" s="16" t="s">
        <v>66</v>
      </c>
      <c r="D38" s="16" t="s">
        <v>56</v>
      </c>
      <c r="E38" s="16" t="s">
        <v>57</v>
      </c>
      <c r="F38" s="16" t="s">
        <v>48</v>
      </c>
      <c r="G38" s="16" t="s">
        <v>49</v>
      </c>
      <c r="H38" s="17">
        <v>55</v>
      </c>
      <c r="I38" s="18">
        <v>1.1000000000000001</v>
      </c>
      <c r="J38" s="19">
        <v>0</v>
      </c>
      <c r="K38" s="20">
        <f t="shared" si="0"/>
        <v>60.500000000000007</v>
      </c>
      <c r="L38" s="21">
        <v>310</v>
      </c>
      <c r="M38" s="20">
        <f t="shared" si="1"/>
        <v>18755.000000000004</v>
      </c>
      <c r="N38" s="19">
        <v>0.1</v>
      </c>
      <c r="O38" s="20">
        <f t="shared" si="2"/>
        <v>1875.5000000000005</v>
      </c>
      <c r="P38" s="20">
        <f t="shared" si="3"/>
        <v>16879.500000000004</v>
      </c>
    </row>
    <row r="39" spans="1:16" ht="15" customHeight="1" x14ac:dyDescent="0.35">
      <c r="A39" s="16" t="s">
        <v>86</v>
      </c>
      <c r="B39" s="16" t="s">
        <v>31</v>
      </c>
      <c r="C39" s="16" t="s">
        <v>66</v>
      </c>
      <c r="D39" s="16" t="s">
        <v>56</v>
      </c>
      <c r="E39" s="16" t="s">
        <v>57</v>
      </c>
      <c r="F39" s="16" t="s">
        <v>69</v>
      </c>
      <c r="G39" s="16" t="s">
        <v>70</v>
      </c>
      <c r="H39" s="17">
        <v>35</v>
      </c>
      <c r="I39" s="18">
        <v>1.1000000000000001</v>
      </c>
      <c r="J39" s="19">
        <v>0</v>
      </c>
      <c r="K39" s="20">
        <f t="shared" si="0"/>
        <v>38.5</v>
      </c>
      <c r="L39" s="21">
        <v>280</v>
      </c>
      <c r="M39" s="20">
        <f t="shared" si="1"/>
        <v>10780</v>
      </c>
      <c r="N39" s="19">
        <v>0.1</v>
      </c>
      <c r="O39" s="20">
        <f t="shared" si="2"/>
        <v>1078</v>
      </c>
      <c r="P39" s="20">
        <f t="shared" si="3"/>
        <v>9702</v>
      </c>
    </row>
    <row r="40" spans="1:16" ht="15" customHeight="1" x14ac:dyDescent="0.35">
      <c r="A40" s="22" t="s">
        <v>87</v>
      </c>
      <c r="B40" s="22" t="s">
        <v>31</v>
      </c>
      <c r="C40" s="22" t="s">
        <v>66</v>
      </c>
      <c r="D40" s="22" t="s">
        <v>60</v>
      </c>
      <c r="E40" s="22" t="s">
        <v>61</v>
      </c>
      <c r="F40" s="22" t="s">
        <v>41</v>
      </c>
      <c r="G40" s="22" t="s">
        <v>42</v>
      </c>
      <c r="H40" s="23">
        <v>95</v>
      </c>
      <c r="I40" s="24">
        <v>1.2</v>
      </c>
      <c r="J40" s="25">
        <v>0</v>
      </c>
      <c r="K40" s="26">
        <f t="shared" si="0"/>
        <v>114</v>
      </c>
      <c r="L40" s="27">
        <v>95</v>
      </c>
      <c r="M40" s="26">
        <f t="shared" si="1"/>
        <v>10830</v>
      </c>
      <c r="N40" s="25">
        <v>0.12</v>
      </c>
      <c r="O40" s="26">
        <f t="shared" si="2"/>
        <v>1299.5999999999999</v>
      </c>
      <c r="P40" s="26">
        <f t="shared" si="3"/>
        <v>9530.4</v>
      </c>
    </row>
    <row r="41" spans="1:16" ht="15" customHeight="1" x14ac:dyDescent="0.35">
      <c r="A41" s="22" t="s">
        <v>88</v>
      </c>
      <c r="B41" s="22" t="s">
        <v>31</v>
      </c>
      <c r="C41" s="22" t="s">
        <v>66</v>
      </c>
      <c r="D41" s="22" t="s">
        <v>60</v>
      </c>
      <c r="E41" s="22" t="s">
        <v>61</v>
      </c>
      <c r="F41" s="22" t="s">
        <v>48</v>
      </c>
      <c r="G41" s="22" t="s">
        <v>49</v>
      </c>
      <c r="H41" s="23">
        <v>55</v>
      </c>
      <c r="I41" s="24">
        <v>1.2</v>
      </c>
      <c r="J41" s="25">
        <v>0</v>
      </c>
      <c r="K41" s="26">
        <f t="shared" si="0"/>
        <v>66</v>
      </c>
      <c r="L41" s="27">
        <v>140</v>
      </c>
      <c r="M41" s="26">
        <f t="shared" si="1"/>
        <v>9240</v>
      </c>
      <c r="N41" s="25">
        <v>0.12</v>
      </c>
      <c r="O41" s="26">
        <f t="shared" si="2"/>
        <v>1108.8</v>
      </c>
      <c r="P41" s="26">
        <f t="shared" si="3"/>
        <v>8131.2</v>
      </c>
    </row>
    <row r="42" spans="1:16" ht="15" customHeight="1" x14ac:dyDescent="0.35">
      <c r="A42" s="22" t="s">
        <v>89</v>
      </c>
      <c r="B42" s="22" t="s">
        <v>31</v>
      </c>
      <c r="C42" s="22" t="s">
        <v>66</v>
      </c>
      <c r="D42" s="22" t="s">
        <v>60</v>
      </c>
      <c r="E42" s="22" t="s">
        <v>61</v>
      </c>
      <c r="F42" s="22" t="s">
        <v>69</v>
      </c>
      <c r="G42" s="22" t="s">
        <v>70</v>
      </c>
      <c r="H42" s="23">
        <v>35</v>
      </c>
      <c r="I42" s="24">
        <v>1.2</v>
      </c>
      <c r="J42" s="25">
        <v>0</v>
      </c>
      <c r="K42" s="26">
        <f t="shared" ref="K42:K73" si="4">H42*I42*(1-J42)</f>
        <v>42</v>
      </c>
      <c r="L42" s="27">
        <v>200</v>
      </c>
      <c r="M42" s="26">
        <f t="shared" ref="M42:M73" si="5">K42*L42</f>
        <v>8400</v>
      </c>
      <c r="N42" s="25">
        <v>0.12</v>
      </c>
      <c r="O42" s="26">
        <f t="shared" ref="O42:O73" si="6">M42*N42</f>
        <v>1008</v>
      </c>
      <c r="P42" s="26">
        <f t="shared" ref="P42:P73" si="7">M42-O42</f>
        <v>7392</v>
      </c>
    </row>
    <row r="43" spans="1:16" ht="15" customHeight="1" x14ac:dyDescent="0.35">
      <c r="A43" s="28" t="s">
        <v>90</v>
      </c>
      <c r="B43" s="28" t="s">
        <v>31</v>
      </c>
      <c r="C43" s="28" t="s">
        <v>66</v>
      </c>
      <c r="D43" s="28" t="s">
        <v>63</v>
      </c>
      <c r="E43" s="28" t="s">
        <v>64</v>
      </c>
      <c r="F43" s="28" t="s">
        <v>48</v>
      </c>
      <c r="G43" s="28" t="s">
        <v>49</v>
      </c>
      <c r="H43" s="29">
        <v>55</v>
      </c>
      <c r="I43" s="30">
        <v>1.35</v>
      </c>
      <c r="J43" s="31">
        <v>0</v>
      </c>
      <c r="K43" s="32">
        <f t="shared" si="4"/>
        <v>74.25</v>
      </c>
      <c r="L43" s="33">
        <v>60</v>
      </c>
      <c r="M43" s="32">
        <f t="shared" si="5"/>
        <v>4455</v>
      </c>
      <c r="N43" s="31">
        <v>0.12</v>
      </c>
      <c r="O43" s="32">
        <f t="shared" si="6"/>
        <v>534.6</v>
      </c>
      <c r="P43" s="32">
        <f t="shared" si="7"/>
        <v>3920.4</v>
      </c>
    </row>
    <row r="44" spans="1:16" ht="15" customHeight="1" x14ac:dyDescent="0.35">
      <c r="A44" s="28" t="s">
        <v>91</v>
      </c>
      <c r="B44" s="28" t="s">
        <v>31</v>
      </c>
      <c r="C44" s="28" t="s">
        <v>66</v>
      </c>
      <c r="D44" s="28" t="s">
        <v>63</v>
      </c>
      <c r="E44" s="28" t="s">
        <v>64</v>
      </c>
      <c r="F44" s="28" t="s">
        <v>69</v>
      </c>
      <c r="G44" s="28" t="s">
        <v>70</v>
      </c>
      <c r="H44" s="29">
        <v>35</v>
      </c>
      <c r="I44" s="30">
        <v>1.35</v>
      </c>
      <c r="J44" s="31">
        <v>0</v>
      </c>
      <c r="K44" s="32">
        <f t="shared" si="4"/>
        <v>47.25</v>
      </c>
      <c r="L44" s="33">
        <v>110</v>
      </c>
      <c r="M44" s="32">
        <f t="shared" si="5"/>
        <v>5197.5</v>
      </c>
      <c r="N44" s="31">
        <v>0.12</v>
      </c>
      <c r="O44" s="32">
        <f t="shared" si="6"/>
        <v>623.69999999999993</v>
      </c>
      <c r="P44" s="32">
        <f t="shared" si="7"/>
        <v>4573.8</v>
      </c>
    </row>
    <row r="45" spans="1:16" ht="15" customHeight="1" x14ac:dyDescent="0.35">
      <c r="A45" s="4" t="s">
        <v>92</v>
      </c>
      <c r="B45" s="4" t="s">
        <v>93</v>
      </c>
      <c r="C45" s="4" t="s">
        <v>32</v>
      </c>
      <c r="D45" s="4" t="s">
        <v>33</v>
      </c>
      <c r="E45" s="4" t="s">
        <v>34</v>
      </c>
      <c r="F45" s="4" t="s">
        <v>38</v>
      </c>
      <c r="G45" s="4" t="s">
        <v>39</v>
      </c>
      <c r="H45" s="5">
        <v>185</v>
      </c>
      <c r="I45" s="6">
        <v>0.8</v>
      </c>
      <c r="J45" s="7">
        <v>0.12</v>
      </c>
      <c r="K45" s="8">
        <f t="shared" si="4"/>
        <v>130.24</v>
      </c>
      <c r="L45" s="9">
        <v>80</v>
      </c>
      <c r="M45" s="8">
        <f t="shared" si="5"/>
        <v>10419.200000000001</v>
      </c>
      <c r="N45" s="7">
        <v>0.06</v>
      </c>
      <c r="O45" s="8">
        <f t="shared" si="6"/>
        <v>625.15200000000004</v>
      </c>
      <c r="P45" s="8">
        <f t="shared" si="7"/>
        <v>9794.0480000000007</v>
      </c>
    </row>
    <row r="46" spans="1:16" ht="15" customHeight="1" x14ac:dyDescent="0.35">
      <c r="A46" s="4" t="s">
        <v>94</v>
      </c>
      <c r="B46" s="4" t="s">
        <v>93</v>
      </c>
      <c r="C46" s="4" t="s">
        <v>32</v>
      </c>
      <c r="D46" s="4" t="s">
        <v>33</v>
      </c>
      <c r="E46" s="4" t="s">
        <v>34</v>
      </c>
      <c r="F46" s="4" t="s">
        <v>41</v>
      </c>
      <c r="G46" s="4" t="s">
        <v>42</v>
      </c>
      <c r="H46" s="5">
        <v>95</v>
      </c>
      <c r="I46" s="6">
        <v>0.8</v>
      </c>
      <c r="J46" s="7">
        <v>0.12</v>
      </c>
      <c r="K46" s="8">
        <f t="shared" si="4"/>
        <v>66.88</v>
      </c>
      <c r="L46" s="9">
        <v>175</v>
      </c>
      <c r="M46" s="8">
        <f t="shared" si="5"/>
        <v>11704</v>
      </c>
      <c r="N46" s="7">
        <v>0.06</v>
      </c>
      <c r="O46" s="8">
        <f t="shared" si="6"/>
        <v>702.24</v>
      </c>
      <c r="P46" s="8">
        <f t="shared" si="7"/>
        <v>11001.76</v>
      </c>
    </row>
    <row r="47" spans="1:16" ht="15" customHeight="1" x14ac:dyDescent="0.35">
      <c r="A47" s="4" t="s">
        <v>95</v>
      </c>
      <c r="B47" s="4" t="s">
        <v>93</v>
      </c>
      <c r="C47" s="4" t="s">
        <v>32</v>
      </c>
      <c r="D47" s="4" t="s">
        <v>44</v>
      </c>
      <c r="E47" s="4" t="s">
        <v>45</v>
      </c>
      <c r="F47" s="4" t="s">
        <v>41</v>
      </c>
      <c r="G47" s="4" t="s">
        <v>42</v>
      </c>
      <c r="H47" s="5">
        <v>95</v>
      </c>
      <c r="I47" s="6">
        <v>0.9</v>
      </c>
      <c r="J47" s="7">
        <v>0.12</v>
      </c>
      <c r="K47" s="8">
        <f t="shared" si="4"/>
        <v>75.239999999999995</v>
      </c>
      <c r="L47" s="9">
        <v>240</v>
      </c>
      <c r="M47" s="8">
        <f t="shared" si="5"/>
        <v>18057.599999999999</v>
      </c>
      <c r="N47" s="7">
        <v>0.06</v>
      </c>
      <c r="O47" s="8">
        <f t="shared" si="6"/>
        <v>1083.4559999999999</v>
      </c>
      <c r="P47" s="8">
        <f t="shared" si="7"/>
        <v>16974.144</v>
      </c>
    </row>
    <row r="48" spans="1:16" ht="15" customHeight="1" x14ac:dyDescent="0.35">
      <c r="A48" s="4" t="s">
        <v>96</v>
      </c>
      <c r="B48" s="4" t="s">
        <v>93</v>
      </c>
      <c r="C48" s="4" t="s">
        <v>32</v>
      </c>
      <c r="D48" s="4" t="s">
        <v>44</v>
      </c>
      <c r="E48" s="4" t="s">
        <v>45</v>
      </c>
      <c r="F48" s="4" t="s">
        <v>48</v>
      </c>
      <c r="G48" s="4" t="s">
        <v>49</v>
      </c>
      <c r="H48" s="5">
        <v>55</v>
      </c>
      <c r="I48" s="6">
        <v>0.9</v>
      </c>
      <c r="J48" s="7">
        <v>0.12</v>
      </c>
      <c r="K48" s="8">
        <f t="shared" si="4"/>
        <v>43.56</v>
      </c>
      <c r="L48" s="9">
        <v>290</v>
      </c>
      <c r="M48" s="8">
        <f t="shared" si="5"/>
        <v>12632.400000000001</v>
      </c>
      <c r="N48" s="7">
        <v>0.06</v>
      </c>
      <c r="O48" s="8">
        <f t="shared" si="6"/>
        <v>757.94400000000007</v>
      </c>
      <c r="P48" s="8">
        <f t="shared" si="7"/>
        <v>11874.456000000002</v>
      </c>
    </row>
    <row r="49" spans="1:16" ht="15" customHeight="1" x14ac:dyDescent="0.35">
      <c r="A49" s="10" t="s">
        <v>97</v>
      </c>
      <c r="B49" s="10" t="s">
        <v>93</v>
      </c>
      <c r="C49" s="10" t="s">
        <v>32</v>
      </c>
      <c r="D49" s="10" t="s">
        <v>51</v>
      </c>
      <c r="E49" s="10" t="s">
        <v>52</v>
      </c>
      <c r="F49" s="10" t="s">
        <v>41</v>
      </c>
      <c r="G49" s="10" t="s">
        <v>42</v>
      </c>
      <c r="H49" s="11">
        <v>95</v>
      </c>
      <c r="I49" s="12">
        <v>1</v>
      </c>
      <c r="J49" s="13">
        <v>0.12</v>
      </c>
      <c r="K49" s="14">
        <f t="shared" si="4"/>
        <v>83.6</v>
      </c>
      <c r="L49" s="15">
        <v>310</v>
      </c>
      <c r="M49" s="14">
        <f t="shared" si="5"/>
        <v>25916</v>
      </c>
      <c r="N49" s="13">
        <v>7.0000000000000007E-2</v>
      </c>
      <c r="O49" s="14">
        <f t="shared" si="6"/>
        <v>1814.1200000000001</v>
      </c>
      <c r="P49" s="14">
        <f t="shared" si="7"/>
        <v>24101.88</v>
      </c>
    </row>
    <row r="50" spans="1:16" ht="15" customHeight="1" x14ac:dyDescent="0.35">
      <c r="A50" s="10" t="s">
        <v>98</v>
      </c>
      <c r="B50" s="10" t="s">
        <v>93</v>
      </c>
      <c r="C50" s="10" t="s">
        <v>32</v>
      </c>
      <c r="D50" s="10" t="s">
        <v>51</v>
      </c>
      <c r="E50" s="10" t="s">
        <v>52</v>
      </c>
      <c r="F50" s="10" t="s">
        <v>48</v>
      </c>
      <c r="G50" s="10" t="s">
        <v>49</v>
      </c>
      <c r="H50" s="11">
        <v>55</v>
      </c>
      <c r="I50" s="12">
        <v>1</v>
      </c>
      <c r="J50" s="13">
        <v>0.12</v>
      </c>
      <c r="K50" s="14">
        <f t="shared" si="4"/>
        <v>48.4</v>
      </c>
      <c r="L50" s="15">
        <v>380</v>
      </c>
      <c r="M50" s="14">
        <f t="shared" si="5"/>
        <v>18392</v>
      </c>
      <c r="N50" s="13">
        <v>7.0000000000000007E-2</v>
      </c>
      <c r="O50" s="14">
        <f t="shared" si="6"/>
        <v>1287.44</v>
      </c>
      <c r="P50" s="14">
        <f t="shared" si="7"/>
        <v>17104.560000000001</v>
      </c>
    </row>
    <row r="51" spans="1:16" ht="15" customHeight="1" x14ac:dyDescent="0.35">
      <c r="A51" s="16" t="s">
        <v>99</v>
      </c>
      <c r="B51" s="16" t="s">
        <v>93</v>
      </c>
      <c r="C51" s="16" t="s">
        <v>32</v>
      </c>
      <c r="D51" s="16" t="s">
        <v>56</v>
      </c>
      <c r="E51" s="16" t="s">
        <v>57</v>
      </c>
      <c r="F51" s="16" t="s">
        <v>41</v>
      </c>
      <c r="G51" s="16" t="s">
        <v>42</v>
      </c>
      <c r="H51" s="17">
        <v>95</v>
      </c>
      <c r="I51" s="18">
        <v>1.1000000000000001</v>
      </c>
      <c r="J51" s="19">
        <v>0.12</v>
      </c>
      <c r="K51" s="20">
        <f t="shared" si="4"/>
        <v>91.960000000000008</v>
      </c>
      <c r="L51" s="21">
        <v>160</v>
      </c>
      <c r="M51" s="20">
        <f t="shared" si="5"/>
        <v>14713.600000000002</v>
      </c>
      <c r="N51" s="19">
        <v>7.0000000000000007E-2</v>
      </c>
      <c r="O51" s="20">
        <f t="shared" si="6"/>
        <v>1029.9520000000002</v>
      </c>
      <c r="P51" s="20">
        <f t="shared" si="7"/>
        <v>13683.648000000001</v>
      </c>
    </row>
    <row r="52" spans="1:16" ht="15" customHeight="1" x14ac:dyDescent="0.35">
      <c r="A52" s="16" t="s">
        <v>100</v>
      </c>
      <c r="B52" s="16" t="s">
        <v>93</v>
      </c>
      <c r="C52" s="16" t="s">
        <v>32</v>
      </c>
      <c r="D52" s="16" t="s">
        <v>56</v>
      </c>
      <c r="E52" s="16" t="s">
        <v>57</v>
      </c>
      <c r="F52" s="16" t="s">
        <v>48</v>
      </c>
      <c r="G52" s="16" t="s">
        <v>49</v>
      </c>
      <c r="H52" s="17">
        <v>55</v>
      </c>
      <c r="I52" s="18">
        <v>1.1000000000000001</v>
      </c>
      <c r="J52" s="19">
        <v>0.12</v>
      </c>
      <c r="K52" s="20">
        <f t="shared" si="4"/>
        <v>53.240000000000009</v>
      </c>
      <c r="L52" s="21">
        <v>200</v>
      </c>
      <c r="M52" s="20">
        <f t="shared" si="5"/>
        <v>10648.000000000002</v>
      </c>
      <c r="N52" s="19">
        <v>7.0000000000000007E-2</v>
      </c>
      <c r="O52" s="20">
        <f t="shared" si="6"/>
        <v>745.36000000000024</v>
      </c>
      <c r="P52" s="20">
        <f t="shared" si="7"/>
        <v>9902.6400000000012</v>
      </c>
    </row>
    <row r="53" spans="1:16" ht="15" customHeight="1" x14ac:dyDescent="0.35">
      <c r="A53" s="22" t="s">
        <v>101</v>
      </c>
      <c r="B53" s="22" t="s">
        <v>93</v>
      </c>
      <c r="C53" s="22" t="s">
        <v>32</v>
      </c>
      <c r="D53" s="22" t="s">
        <v>60</v>
      </c>
      <c r="E53" s="22" t="s">
        <v>61</v>
      </c>
      <c r="F53" s="22" t="s">
        <v>48</v>
      </c>
      <c r="G53" s="22" t="s">
        <v>49</v>
      </c>
      <c r="H53" s="23">
        <v>55</v>
      </c>
      <c r="I53" s="24">
        <v>1.2</v>
      </c>
      <c r="J53" s="25">
        <v>0.12</v>
      </c>
      <c r="K53" s="26">
        <f t="shared" si="4"/>
        <v>58.08</v>
      </c>
      <c r="L53" s="27">
        <v>70</v>
      </c>
      <c r="M53" s="26">
        <f t="shared" si="5"/>
        <v>4065.6</v>
      </c>
      <c r="N53" s="25">
        <v>0.09</v>
      </c>
      <c r="O53" s="26">
        <f t="shared" si="6"/>
        <v>365.904</v>
      </c>
      <c r="P53" s="26">
        <f t="shared" si="7"/>
        <v>3699.6959999999999</v>
      </c>
    </row>
    <row r="54" spans="1:16" ht="15" customHeight="1" x14ac:dyDescent="0.35">
      <c r="A54" s="28" t="s">
        <v>102</v>
      </c>
      <c r="B54" s="28" t="s">
        <v>93</v>
      </c>
      <c r="C54" s="28" t="s">
        <v>32</v>
      </c>
      <c r="D54" s="28" t="s">
        <v>63</v>
      </c>
      <c r="E54" s="28" t="s">
        <v>64</v>
      </c>
      <c r="F54" s="28" t="s">
        <v>48</v>
      </c>
      <c r="G54" s="28" t="s">
        <v>49</v>
      </c>
      <c r="H54" s="29">
        <v>55</v>
      </c>
      <c r="I54" s="30">
        <v>1.35</v>
      </c>
      <c r="J54" s="31">
        <v>0.12</v>
      </c>
      <c r="K54" s="32">
        <f t="shared" si="4"/>
        <v>65.34</v>
      </c>
      <c r="L54" s="33">
        <v>35</v>
      </c>
      <c r="M54" s="32">
        <f t="shared" si="5"/>
        <v>2286.9</v>
      </c>
      <c r="N54" s="31">
        <v>0.09</v>
      </c>
      <c r="O54" s="32">
        <f t="shared" si="6"/>
        <v>205.821</v>
      </c>
      <c r="P54" s="32">
        <f t="shared" si="7"/>
        <v>2081.0790000000002</v>
      </c>
    </row>
    <row r="55" spans="1:16" ht="15" customHeight="1" x14ac:dyDescent="0.35">
      <c r="A55" s="4" t="s">
        <v>103</v>
      </c>
      <c r="B55" s="4" t="s">
        <v>93</v>
      </c>
      <c r="C55" s="4" t="s">
        <v>66</v>
      </c>
      <c r="D55" s="4" t="s">
        <v>33</v>
      </c>
      <c r="E55" s="4" t="s">
        <v>34</v>
      </c>
      <c r="F55" s="4" t="s">
        <v>41</v>
      </c>
      <c r="G55" s="4" t="s">
        <v>42</v>
      </c>
      <c r="H55" s="5">
        <v>95</v>
      </c>
      <c r="I55" s="6">
        <v>0.8</v>
      </c>
      <c r="J55" s="7">
        <v>0</v>
      </c>
      <c r="K55" s="8">
        <f t="shared" si="4"/>
        <v>76</v>
      </c>
      <c r="L55" s="9">
        <v>140</v>
      </c>
      <c r="M55" s="8">
        <f t="shared" si="5"/>
        <v>10640</v>
      </c>
      <c r="N55" s="7">
        <v>0.06</v>
      </c>
      <c r="O55" s="8">
        <f t="shared" si="6"/>
        <v>638.4</v>
      </c>
      <c r="P55" s="8">
        <f t="shared" si="7"/>
        <v>10001.6</v>
      </c>
    </row>
    <row r="56" spans="1:16" ht="15" customHeight="1" x14ac:dyDescent="0.35">
      <c r="A56" s="4" t="s">
        <v>104</v>
      </c>
      <c r="B56" s="4" t="s">
        <v>93</v>
      </c>
      <c r="C56" s="4" t="s">
        <v>66</v>
      </c>
      <c r="D56" s="4" t="s">
        <v>33</v>
      </c>
      <c r="E56" s="4" t="s">
        <v>34</v>
      </c>
      <c r="F56" s="4" t="s">
        <v>48</v>
      </c>
      <c r="G56" s="4" t="s">
        <v>49</v>
      </c>
      <c r="H56" s="5">
        <v>55</v>
      </c>
      <c r="I56" s="6">
        <v>0.8</v>
      </c>
      <c r="J56" s="7">
        <v>0</v>
      </c>
      <c r="K56" s="8">
        <f t="shared" si="4"/>
        <v>44</v>
      </c>
      <c r="L56" s="9">
        <v>310</v>
      </c>
      <c r="M56" s="8">
        <f t="shared" si="5"/>
        <v>13640</v>
      </c>
      <c r="N56" s="7">
        <v>0.06</v>
      </c>
      <c r="O56" s="8">
        <f t="shared" si="6"/>
        <v>818.4</v>
      </c>
      <c r="P56" s="8">
        <f t="shared" si="7"/>
        <v>12821.6</v>
      </c>
    </row>
    <row r="57" spans="1:16" ht="15" customHeight="1" x14ac:dyDescent="0.35">
      <c r="A57" s="4" t="s">
        <v>105</v>
      </c>
      <c r="B57" s="4" t="s">
        <v>93</v>
      </c>
      <c r="C57" s="4" t="s">
        <v>66</v>
      </c>
      <c r="D57" s="4" t="s">
        <v>33</v>
      </c>
      <c r="E57" s="4" t="s">
        <v>34</v>
      </c>
      <c r="F57" s="4" t="s">
        <v>69</v>
      </c>
      <c r="G57" s="4" t="s">
        <v>70</v>
      </c>
      <c r="H57" s="5">
        <v>35</v>
      </c>
      <c r="I57" s="6">
        <v>0.8</v>
      </c>
      <c r="J57" s="7">
        <v>0</v>
      </c>
      <c r="K57" s="8">
        <f t="shared" si="4"/>
        <v>28</v>
      </c>
      <c r="L57" s="9">
        <v>440</v>
      </c>
      <c r="M57" s="8">
        <f t="shared" si="5"/>
        <v>12320</v>
      </c>
      <c r="N57" s="7">
        <v>0.06</v>
      </c>
      <c r="O57" s="8">
        <f t="shared" si="6"/>
        <v>739.19999999999993</v>
      </c>
      <c r="P57" s="8">
        <f t="shared" si="7"/>
        <v>11580.8</v>
      </c>
    </row>
    <row r="58" spans="1:16" ht="15" customHeight="1" x14ac:dyDescent="0.35">
      <c r="A58" s="4" t="s">
        <v>106</v>
      </c>
      <c r="B58" s="4" t="s">
        <v>93</v>
      </c>
      <c r="C58" s="4" t="s">
        <v>66</v>
      </c>
      <c r="D58" s="4" t="s">
        <v>44</v>
      </c>
      <c r="E58" s="4" t="s">
        <v>45</v>
      </c>
      <c r="F58" s="4" t="s">
        <v>41</v>
      </c>
      <c r="G58" s="4" t="s">
        <v>42</v>
      </c>
      <c r="H58" s="5">
        <v>95</v>
      </c>
      <c r="I58" s="6">
        <v>0.9</v>
      </c>
      <c r="J58" s="7">
        <v>0</v>
      </c>
      <c r="K58" s="8">
        <f t="shared" si="4"/>
        <v>85.5</v>
      </c>
      <c r="L58" s="9">
        <v>265</v>
      </c>
      <c r="M58" s="8">
        <f t="shared" si="5"/>
        <v>22657.5</v>
      </c>
      <c r="N58" s="7">
        <v>0.06</v>
      </c>
      <c r="O58" s="8">
        <f t="shared" si="6"/>
        <v>1359.45</v>
      </c>
      <c r="P58" s="8">
        <f t="shared" si="7"/>
        <v>21298.05</v>
      </c>
    </row>
    <row r="59" spans="1:16" ht="15" customHeight="1" x14ac:dyDescent="0.35">
      <c r="A59" s="4" t="s">
        <v>107</v>
      </c>
      <c r="B59" s="4" t="s">
        <v>93</v>
      </c>
      <c r="C59" s="4" t="s">
        <v>66</v>
      </c>
      <c r="D59" s="4" t="s">
        <v>44</v>
      </c>
      <c r="E59" s="4" t="s">
        <v>45</v>
      </c>
      <c r="F59" s="4" t="s">
        <v>48</v>
      </c>
      <c r="G59" s="4" t="s">
        <v>49</v>
      </c>
      <c r="H59" s="5">
        <v>55</v>
      </c>
      <c r="I59" s="6">
        <v>0.9</v>
      </c>
      <c r="J59" s="7">
        <v>0</v>
      </c>
      <c r="K59" s="8">
        <f t="shared" si="4"/>
        <v>49.5</v>
      </c>
      <c r="L59" s="9">
        <v>400</v>
      </c>
      <c r="M59" s="8">
        <f t="shared" si="5"/>
        <v>19800</v>
      </c>
      <c r="N59" s="7">
        <v>0.06</v>
      </c>
      <c r="O59" s="8">
        <f t="shared" si="6"/>
        <v>1188</v>
      </c>
      <c r="P59" s="8">
        <f t="shared" si="7"/>
        <v>18612</v>
      </c>
    </row>
    <row r="60" spans="1:16" ht="15" customHeight="1" x14ac:dyDescent="0.35">
      <c r="A60" s="4" t="s">
        <v>108</v>
      </c>
      <c r="B60" s="4" t="s">
        <v>93</v>
      </c>
      <c r="C60" s="4" t="s">
        <v>66</v>
      </c>
      <c r="D60" s="4" t="s">
        <v>44</v>
      </c>
      <c r="E60" s="4" t="s">
        <v>45</v>
      </c>
      <c r="F60" s="4" t="s">
        <v>69</v>
      </c>
      <c r="G60" s="4" t="s">
        <v>70</v>
      </c>
      <c r="H60" s="5">
        <v>35</v>
      </c>
      <c r="I60" s="6">
        <v>0.9</v>
      </c>
      <c r="J60" s="7">
        <v>0</v>
      </c>
      <c r="K60" s="8">
        <f t="shared" si="4"/>
        <v>31.5</v>
      </c>
      <c r="L60" s="9">
        <v>560</v>
      </c>
      <c r="M60" s="8">
        <f t="shared" si="5"/>
        <v>17640</v>
      </c>
      <c r="N60" s="7">
        <v>0.06</v>
      </c>
      <c r="O60" s="8">
        <f t="shared" si="6"/>
        <v>1058.3999999999999</v>
      </c>
      <c r="P60" s="8">
        <f t="shared" si="7"/>
        <v>16581.599999999999</v>
      </c>
    </row>
    <row r="61" spans="1:16" ht="15" customHeight="1" x14ac:dyDescent="0.35">
      <c r="A61" s="10" t="s">
        <v>109</v>
      </c>
      <c r="B61" s="10" t="s">
        <v>93</v>
      </c>
      <c r="C61" s="10" t="s">
        <v>66</v>
      </c>
      <c r="D61" s="10" t="s">
        <v>51</v>
      </c>
      <c r="E61" s="10" t="s">
        <v>52</v>
      </c>
      <c r="F61" s="10" t="s">
        <v>38</v>
      </c>
      <c r="G61" s="10" t="s">
        <v>39</v>
      </c>
      <c r="H61" s="11">
        <v>185</v>
      </c>
      <c r="I61" s="12">
        <v>1</v>
      </c>
      <c r="J61" s="13">
        <v>0</v>
      </c>
      <c r="K61" s="14">
        <f t="shared" si="4"/>
        <v>185</v>
      </c>
      <c r="L61" s="15">
        <v>190</v>
      </c>
      <c r="M61" s="14">
        <f t="shared" si="5"/>
        <v>35150</v>
      </c>
      <c r="N61" s="13">
        <v>7.0000000000000007E-2</v>
      </c>
      <c r="O61" s="14">
        <f t="shared" si="6"/>
        <v>2460.5000000000005</v>
      </c>
      <c r="P61" s="14">
        <f t="shared" si="7"/>
        <v>32689.5</v>
      </c>
    </row>
    <row r="62" spans="1:16" ht="15" customHeight="1" x14ac:dyDescent="0.35">
      <c r="A62" s="10" t="s">
        <v>110</v>
      </c>
      <c r="B62" s="10" t="s">
        <v>93</v>
      </c>
      <c r="C62" s="10" t="s">
        <v>66</v>
      </c>
      <c r="D62" s="10" t="s">
        <v>51</v>
      </c>
      <c r="E62" s="10" t="s">
        <v>52</v>
      </c>
      <c r="F62" s="10" t="s">
        <v>41</v>
      </c>
      <c r="G62" s="10" t="s">
        <v>42</v>
      </c>
      <c r="H62" s="11">
        <v>95</v>
      </c>
      <c r="I62" s="12">
        <v>1</v>
      </c>
      <c r="J62" s="13">
        <v>0</v>
      </c>
      <c r="K62" s="14">
        <f t="shared" si="4"/>
        <v>95</v>
      </c>
      <c r="L62" s="15">
        <v>350</v>
      </c>
      <c r="M62" s="14">
        <f t="shared" si="5"/>
        <v>33250</v>
      </c>
      <c r="N62" s="13">
        <v>7.0000000000000007E-2</v>
      </c>
      <c r="O62" s="14">
        <f t="shared" si="6"/>
        <v>2327.5</v>
      </c>
      <c r="P62" s="14">
        <f t="shared" si="7"/>
        <v>30922.5</v>
      </c>
    </row>
    <row r="63" spans="1:16" ht="15" customHeight="1" x14ac:dyDescent="0.35">
      <c r="A63" s="10" t="s">
        <v>111</v>
      </c>
      <c r="B63" s="10" t="s">
        <v>93</v>
      </c>
      <c r="C63" s="10" t="s">
        <v>66</v>
      </c>
      <c r="D63" s="10" t="s">
        <v>51</v>
      </c>
      <c r="E63" s="10" t="s">
        <v>52</v>
      </c>
      <c r="F63" s="10" t="s">
        <v>48</v>
      </c>
      <c r="G63" s="10" t="s">
        <v>49</v>
      </c>
      <c r="H63" s="11">
        <v>55</v>
      </c>
      <c r="I63" s="12">
        <v>1</v>
      </c>
      <c r="J63" s="13">
        <v>0</v>
      </c>
      <c r="K63" s="14">
        <f t="shared" si="4"/>
        <v>55</v>
      </c>
      <c r="L63" s="15">
        <v>490</v>
      </c>
      <c r="M63" s="14">
        <f t="shared" si="5"/>
        <v>26950</v>
      </c>
      <c r="N63" s="13">
        <v>7.0000000000000007E-2</v>
      </c>
      <c r="O63" s="14">
        <f t="shared" si="6"/>
        <v>1886.5000000000002</v>
      </c>
      <c r="P63" s="14">
        <f t="shared" si="7"/>
        <v>25063.5</v>
      </c>
    </row>
    <row r="64" spans="1:16" ht="15" customHeight="1" x14ac:dyDescent="0.35">
      <c r="A64" s="10" t="s">
        <v>112</v>
      </c>
      <c r="B64" s="10" t="s">
        <v>93</v>
      </c>
      <c r="C64" s="10" t="s">
        <v>66</v>
      </c>
      <c r="D64" s="10" t="s">
        <v>51</v>
      </c>
      <c r="E64" s="10" t="s">
        <v>52</v>
      </c>
      <c r="F64" s="10" t="s">
        <v>69</v>
      </c>
      <c r="G64" s="10" t="s">
        <v>70</v>
      </c>
      <c r="H64" s="11">
        <v>35</v>
      </c>
      <c r="I64" s="12">
        <v>1</v>
      </c>
      <c r="J64" s="13">
        <v>0</v>
      </c>
      <c r="K64" s="14">
        <f t="shared" si="4"/>
        <v>35</v>
      </c>
      <c r="L64" s="15">
        <v>620</v>
      </c>
      <c r="M64" s="14">
        <f t="shared" si="5"/>
        <v>21700</v>
      </c>
      <c r="N64" s="13">
        <v>7.0000000000000007E-2</v>
      </c>
      <c r="O64" s="14">
        <f t="shared" si="6"/>
        <v>1519.0000000000002</v>
      </c>
      <c r="P64" s="14">
        <f t="shared" si="7"/>
        <v>20181</v>
      </c>
    </row>
    <row r="65" spans="1:16" ht="15" customHeight="1" x14ac:dyDescent="0.35">
      <c r="A65" s="10" t="s">
        <v>113</v>
      </c>
      <c r="B65" s="10" t="s">
        <v>93</v>
      </c>
      <c r="C65" s="10" t="s">
        <v>66</v>
      </c>
      <c r="D65" s="10" t="s">
        <v>51</v>
      </c>
      <c r="E65" s="10" t="s">
        <v>52</v>
      </c>
      <c r="F65" s="10" t="s">
        <v>81</v>
      </c>
      <c r="G65" s="10" t="s">
        <v>82</v>
      </c>
      <c r="H65" s="11">
        <v>25</v>
      </c>
      <c r="I65" s="12">
        <v>1</v>
      </c>
      <c r="J65" s="13">
        <v>0</v>
      </c>
      <c r="K65" s="14">
        <f t="shared" si="4"/>
        <v>25</v>
      </c>
      <c r="L65" s="15">
        <v>150</v>
      </c>
      <c r="M65" s="14">
        <f t="shared" si="5"/>
        <v>3750</v>
      </c>
      <c r="N65" s="13">
        <v>7.0000000000000007E-2</v>
      </c>
      <c r="O65" s="14">
        <f t="shared" si="6"/>
        <v>262.5</v>
      </c>
      <c r="P65" s="14">
        <f t="shared" si="7"/>
        <v>3487.5</v>
      </c>
    </row>
    <row r="66" spans="1:16" ht="15" customHeight="1" x14ac:dyDescent="0.35">
      <c r="A66" s="16" t="s">
        <v>114</v>
      </c>
      <c r="B66" s="16" t="s">
        <v>93</v>
      </c>
      <c r="C66" s="16" t="s">
        <v>66</v>
      </c>
      <c r="D66" s="16" t="s">
        <v>56</v>
      </c>
      <c r="E66" s="16" t="s">
        <v>57</v>
      </c>
      <c r="F66" s="16" t="s">
        <v>41</v>
      </c>
      <c r="G66" s="16" t="s">
        <v>42</v>
      </c>
      <c r="H66" s="17">
        <v>95</v>
      </c>
      <c r="I66" s="18">
        <v>1.1000000000000001</v>
      </c>
      <c r="J66" s="19">
        <v>0</v>
      </c>
      <c r="K66" s="20">
        <f t="shared" si="4"/>
        <v>104.50000000000001</v>
      </c>
      <c r="L66" s="21">
        <v>200</v>
      </c>
      <c r="M66" s="20">
        <f t="shared" si="5"/>
        <v>20900.000000000004</v>
      </c>
      <c r="N66" s="19">
        <v>7.0000000000000007E-2</v>
      </c>
      <c r="O66" s="20">
        <f t="shared" si="6"/>
        <v>1463.0000000000005</v>
      </c>
      <c r="P66" s="20">
        <f t="shared" si="7"/>
        <v>19437.000000000004</v>
      </c>
    </row>
    <row r="67" spans="1:16" ht="15" customHeight="1" x14ac:dyDescent="0.35">
      <c r="A67" s="16" t="s">
        <v>115</v>
      </c>
      <c r="B67" s="16" t="s">
        <v>93</v>
      </c>
      <c r="C67" s="16" t="s">
        <v>66</v>
      </c>
      <c r="D67" s="16" t="s">
        <v>56</v>
      </c>
      <c r="E67" s="16" t="s">
        <v>57</v>
      </c>
      <c r="F67" s="16" t="s">
        <v>48</v>
      </c>
      <c r="G67" s="16" t="s">
        <v>49</v>
      </c>
      <c r="H67" s="17">
        <v>55</v>
      </c>
      <c r="I67" s="18">
        <v>1.1000000000000001</v>
      </c>
      <c r="J67" s="19">
        <v>0</v>
      </c>
      <c r="K67" s="20">
        <f t="shared" si="4"/>
        <v>60.500000000000007</v>
      </c>
      <c r="L67" s="21">
        <v>270</v>
      </c>
      <c r="M67" s="20">
        <f t="shared" si="5"/>
        <v>16335.000000000002</v>
      </c>
      <c r="N67" s="19">
        <v>7.0000000000000007E-2</v>
      </c>
      <c r="O67" s="20">
        <f t="shared" si="6"/>
        <v>1143.4500000000003</v>
      </c>
      <c r="P67" s="20">
        <f t="shared" si="7"/>
        <v>15191.550000000001</v>
      </c>
    </row>
    <row r="68" spans="1:16" ht="15" customHeight="1" x14ac:dyDescent="0.35">
      <c r="A68" s="16" t="s">
        <v>116</v>
      </c>
      <c r="B68" s="16" t="s">
        <v>93</v>
      </c>
      <c r="C68" s="16" t="s">
        <v>66</v>
      </c>
      <c r="D68" s="16" t="s">
        <v>56</v>
      </c>
      <c r="E68" s="16" t="s">
        <v>57</v>
      </c>
      <c r="F68" s="16" t="s">
        <v>69</v>
      </c>
      <c r="G68" s="16" t="s">
        <v>70</v>
      </c>
      <c r="H68" s="17">
        <v>35</v>
      </c>
      <c r="I68" s="18">
        <v>1.1000000000000001</v>
      </c>
      <c r="J68" s="19">
        <v>0</v>
      </c>
      <c r="K68" s="20">
        <f t="shared" si="4"/>
        <v>38.5</v>
      </c>
      <c r="L68" s="21">
        <v>240</v>
      </c>
      <c r="M68" s="20">
        <f t="shared" si="5"/>
        <v>9240</v>
      </c>
      <c r="N68" s="19">
        <v>7.0000000000000007E-2</v>
      </c>
      <c r="O68" s="20">
        <f t="shared" si="6"/>
        <v>646.80000000000007</v>
      </c>
      <c r="P68" s="20">
        <f t="shared" si="7"/>
        <v>8593.2000000000007</v>
      </c>
    </row>
    <row r="69" spans="1:16" ht="15" customHeight="1" x14ac:dyDescent="0.35">
      <c r="A69" s="22" t="s">
        <v>117</v>
      </c>
      <c r="B69" s="22" t="s">
        <v>93</v>
      </c>
      <c r="C69" s="22" t="s">
        <v>66</v>
      </c>
      <c r="D69" s="22" t="s">
        <v>60</v>
      </c>
      <c r="E69" s="22" t="s">
        <v>61</v>
      </c>
      <c r="F69" s="22" t="s">
        <v>48</v>
      </c>
      <c r="G69" s="22" t="s">
        <v>49</v>
      </c>
      <c r="H69" s="23">
        <v>55</v>
      </c>
      <c r="I69" s="24">
        <v>1.2</v>
      </c>
      <c r="J69" s="25">
        <v>0</v>
      </c>
      <c r="K69" s="26">
        <f t="shared" si="4"/>
        <v>66</v>
      </c>
      <c r="L69" s="27">
        <v>120</v>
      </c>
      <c r="M69" s="26">
        <f t="shared" si="5"/>
        <v>7920</v>
      </c>
      <c r="N69" s="25">
        <v>0.09</v>
      </c>
      <c r="O69" s="26">
        <f t="shared" si="6"/>
        <v>712.8</v>
      </c>
      <c r="P69" s="26">
        <f t="shared" si="7"/>
        <v>7207.2</v>
      </c>
    </row>
    <row r="70" spans="1:16" ht="15" customHeight="1" x14ac:dyDescent="0.35">
      <c r="A70" s="22" t="s">
        <v>118</v>
      </c>
      <c r="B70" s="22" t="s">
        <v>93</v>
      </c>
      <c r="C70" s="22" t="s">
        <v>66</v>
      </c>
      <c r="D70" s="22" t="s">
        <v>60</v>
      </c>
      <c r="E70" s="22" t="s">
        <v>61</v>
      </c>
      <c r="F70" s="22" t="s">
        <v>69</v>
      </c>
      <c r="G70" s="22" t="s">
        <v>70</v>
      </c>
      <c r="H70" s="23">
        <v>35</v>
      </c>
      <c r="I70" s="24">
        <v>1.2</v>
      </c>
      <c r="J70" s="25">
        <v>0</v>
      </c>
      <c r="K70" s="26">
        <f t="shared" si="4"/>
        <v>42</v>
      </c>
      <c r="L70" s="27">
        <v>175</v>
      </c>
      <c r="M70" s="26">
        <f t="shared" si="5"/>
        <v>7350</v>
      </c>
      <c r="N70" s="25">
        <v>0.09</v>
      </c>
      <c r="O70" s="26">
        <f t="shared" si="6"/>
        <v>661.5</v>
      </c>
      <c r="P70" s="26">
        <f t="shared" si="7"/>
        <v>6688.5</v>
      </c>
    </row>
    <row r="71" spans="1:16" ht="15" customHeight="1" x14ac:dyDescent="0.35">
      <c r="A71" s="28" t="s">
        <v>119</v>
      </c>
      <c r="B71" s="28" t="s">
        <v>93</v>
      </c>
      <c r="C71" s="28" t="s">
        <v>66</v>
      </c>
      <c r="D71" s="28" t="s">
        <v>63</v>
      </c>
      <c r="E71" s="28" t="s">
        <v>64</v>
      </c>
      <c r="F71" s="28" t="s">
        <v>69</v>
      </c>
      <c r="G71" s="28" t="s">
        <v>70</v>
      </c>
      <c r="H71" s="29">
        <v>35</v>
      </c>
      <c r="I71" s="30">
        <v>1.35</v>
      </c>
      <c r="J71" s="31">
        <v>0</v>
      </c>
      <c r="K71" s="32">
        <f t="shared" si="4"/>
        <v>47.25</v>
      </c>
      <c r="L71" s="33">
        <v>95</v>
      </c>
      <c r="M71" s="32">
        <f t="shared" si="5"/>
        <v>4488.75</v>
      </c>
      <c r="N71" s="31">
        <v>0.09</v>
      </c>
      <c r="O71" s="32">
        <f t="shared" si="6"/>
        <v>403.98750000000001</v>
      </c>
      <c r="P71" s="32">
        <f t="shared" si="7"/>
        <v>4084.7624999999998</v>
      </c>
    </row>
    <row r="72" spans="1:16" ht="15" customHeight="1" x14ac:dyDescent="0.35">
      <c r="A72" s="10" t="s">
        <v>120</v>
      </c>
      <c r="B72" s="10" t="s">
        <v>121</v>
      </c>
      <c r="C72" s="10" t="s">
        <v>32</v>
      </c>
      <c r="D72" s="10" t="s">
        <v>51</v>
      </c>
      <c r="E72" s="10" t="s">
        <v>52</v>
      </c>
      <c r="F72" s="10" t="s">
        <v>41</v>
      </c>
      <c r="G72" s="10" t="s">
        <v>42</v>
      </c>
      <c r="H72" s="11">
        <v>95</v>
      </c>
      <c r="I72" s="12">
        <v>1</v>
      </c>
      <c r="J72" s="13">
        <v>0.12</v>
      </c>
      <c r="K72" s="14">
        <f t="shared" si="4"/>
        <v>83.6</v>
      </c>
      <c r="L72" s="15">
        <v>120</v>
      </c>
      <c r="M72" s="14">
        <f t="shared" si="5"/>
        <v>10032</v>
      </c>
      <c r="N72" s="13">
        <v>0.04</v>
      </c>
      <c r="O72" s="14">
        <f t="shared" si="6"/>
        <v>401.28000000000003</v>
      </c>
      <c r="P72" s="14">
        <f t="shared" si="7"/>
        <v>9630.7199999999993</v>
      </c>
    </row>
    <row r="73" spans="1:16" ht="15" customHeight="1" x14ac:dyDescent="0.35">
      <c r="A73" s="10" t="s">
        <v>122</v>
      </c>
      <c r="B73" s="10" t="s">
        <v>121</v>
      </c>
      <c r="C73" s="10" t="s">
        <v>32</v>
      </c>
      <c r="D73" s="10" t="s">
        <v>51</v>
      </c>
      <c r="E73" s="10" t="s">
        <v>52</v>
      </c>
      <c r="F73" s="10" t="s">
        <v>48</v>
      </c>
      <c r="G73" s="10" t="s">
        <v>49</v>
      </c>
      <c r="H73" s="11">
        <v>55</v>
      </c>
      <c r="I73" s="12">
        <v>1</v>
      </c>
      <c r="J73" s="13">
        <v>0.12</v>
      </c>
      <c r="K73" s="14">
        <f t="shared" si="4"/>
        <v>48.4</v>
      </c>
      <c r="L73" s="15">
        <v>150</v>
      </c>
      <c r="M73" s="14">
        <f t="shared" si="5"/>
        <v>7260</v>
      </c>
      <c r="N73" s="13">
        <v>0.04</v>
      </c>
      <c r="O73" s="14">
        <f t="shared" si="6"/>
        <v>290.40000000000003</v>
      </c>
      <c r="P73" s="14">
        <f t="shared" si="7"/>
        <v>6969.6</v>
      </c>
    </row>
    <row r="74" spans="1:16" ht="15" customHeight="1" x14ac:dyDescent="0.35">
      <c r="A74" s="16" t="s">
        <v>123</v>
      </c>
      <c r="B74" s="16" t="s">
        <v>121</v>
      </c>
      <c r="C74" s="16" t="s">
        <v>32</v>
      </c>
      <c r="D74" s="16" t="s">
        <v>56</v>
      </c>
      <c r="E74" s="16" t="s">
        <v>57</v>
      </c>
      <c r="F74" s="16" t="s">
        <v>48</v>
      </c>
      <c r="G74" s="16" t="s">
        <v>49</v>
      </c>
      <c r="H74" s="17">
        <v>55</v>
      </c>
      <c r="I74" s="18">
        <v>1.1000000000000001</v>
      </c>
      <c r="J74" s="19">
        <v>0.12</v>
      </c>
      <c r="K74" s="20">
        <f t="shared" ref="K74:K93" si="8">H74*I74*(1-J74)</f>
        <v>53.240000000000009</v>
      </c>
      <c r="L74" s="21">
        <v>90</v>
      </c>
      <c r="M74" s="20">
        <f t="shared" ref="M74:M93" si="9">K74*L74</f>
        <v>4791.6000000000004</v>
      </c>
      <c r="N74" s="19">
        <v>0.04</v>
      </c>
      <c r="O74" s="20">
        <f t="shared" ref="O74:O93" si="10">M74*N74</f>
        <v>191.66400000000002</v>
      </c>
      <c r="P74" s="20">
        <f t="shared" ref="P74:P93" si="11">M74-O74</f>
        <v>4599.9360000000006</v>
      </c>
    </row>
    <row r="75" spans="1:16" ht="15" customHeight="1" x14ac:dyDescent="0.35">
      <c r="A75" s="22" t="s">
        <v>124</v>
      </c>
      <c r="B75" s="22" t="s">
        <v>121</v>
      </c>
      <c r="C75" s="22" t="s">
        <v>32</v>
      </c>
      <c r="D75" s="22" t="s">
        <v>60</v>
      </c>
      <c r="E75" s="22" t="s">
        <v>61</v>
      </c>
      <c r="F75" s="22" t="s">
        <v>48</v>
      </c>
      <c r="G75" s="22" t="s">
        <v>49</v>
      </c>
      <c r="H75" s="23">
        <v>55</v>
      </c>
      <c r="I75" s="24">
        <v>1.2</v>
      </c>
      <c r="J75" s="25">
        <v>0.12</v>
      </c>
      <c r="K75" s="26">
        <f t="shared" si="8"/>
        <v>58.08</v>
      </c>
      <c r="L75" s="27">
        <v>55</v>
      </c>
      <c r="M75" s="26">
        <f t="shared" si="9"/>
        <v>3194.4</v>
      </c>
      <c r="N75" s="25">
        <v>0.05</v>
      </c>
      <c r="O75" s="26">
        <f t="shared" si="10"/>
        <v>159.72000000000003</v>
      </c>
      <c r="P75" s="26">
        <f t="shared" si="11"/>
        <v>3034.6800000000003</v>
      </c>
    </row>
    <row r="76" spans="1:16" ht="15" customHeight="1" x14ac:dyDescent="0.35">
      <c r="A76" s="28" t="s">
        <v>125</v>
      </c>
      <c r="B76" s="28" t="s">
        <v>121</v>
      </c>
      <c r="C76" s="28" t="s">
        <v>32</v>
      </c>
      <c r="D76" s="28" t="s">
        <v>63</v>
      </c>
      <c r="E76" s="28" t="s">
        <v>64</v>
      </c>
      <c r="F76" s="28" t="s">
        <v>48</v>
      </c>
      <c r="G76" s="28" t="s">
        <v>49</v>
      </c>
      <c r="H76" s="29">
        <v>55</v>
      </c>
      <c r="I76" s="30">
        <v>1.35</v>
      </c>
      <c r="J76" s="31">
        <v>0.12</v>
      </c>
      <c r="K76" s="32">
        <f t="shared" si="8"/>
        <v>65.34</v>
      </c>
      <c r="L76" s="33">
        <v>40</v>
      </c>
      <c r="M76" s="32">
        <f t="shared" si="9"/>
        <v>2613.6000000000004</v>
      </c>
      <c r="N76" s="31">
        <v>0.05</v>
      </c>
      <c r="O76" s="32">
        <f t="shared" si="10"/>
        <v>130.68000000000004</v>
      </c>
      <c r="P76" s="32">
        <f t="shared" si="11"/>
        <v>2482.9200000000005</v>
      </c>
    </row>
    <row r="77" spans="1:16" ht="15" customHeight="1" x14ac:dyDescent="0.35">
      <c r="A77" s="28" t="s">
        <v>126</v>
      </c>
      <c r="B77" s="28" t="s">
        <v>121</v>
      </c>
      <c r="C77" s="28" t="s">
        <v>32</v>
      </c>
      <c r="D77" s="28" t="s">
        <v>127</v>
      </c>
      <c r="E77" s="28" t="s">
        <v>128</v>
      </c>
      <c r="F77" s="28" t="s">
        <v>48</v>
      </c>
      <c r="G77" s="28" t="s">
        <v>49</v>
      </c>
      <c r="H77" s="29">
        <v>55</v>
      </c>
      <c r="I77" s="30">
        <v>1.5</v>
      </c>
      <c r="J77" s="31">
        <v>0.12</v>
      </c>
      <c r="K77" s="32">
        <f t="shared" si="8"/>
        <v>72.599999999999994</v>
      </c>
      <c r="L77" s="33">
        <v>25</v>
      </c>
      <c r="M77" s="32">
        <f t="shared" si="9"/>
        <v>1814.9999999999998</v>
      </c>
      <c r="N77" s="31">
        <v>0.05</v>
      </c>
      <c r="O77" s="32">
        <f t="shared" si="10"/>
        <v>90.75</v>
      </c>
      <c r="P77" s="32">
        <f t="shared" si="11"/>
        <v>1724.2499999999998</v>
      </c>
    </row>
    <row r="78" spans="1:16" ht="15" customHeight="1" x14ac:dyDescent="0.35">
      <c r="A78" s="28" t="s">
        <v>129</v>
      </c>
      <c r="B78" s="28" t="s">
        <v>121</v>
      </c>
      <c r="C78" s="28" t="s">
        <v>32</v>
      </c>
      <c r="D78" s="28" t="s">
        <v>127</v>
      </c>
      <c r="E78" s="28" t="s">
        <v>128</v>
      </c>
      <c r="F78" s="28" t="s">
        <v>69</v>
      </c>
      <c r="G78" s="28" t="s">
        <v>70</v>
      </c>
      <c r="H78" s="29">
        <v>35</v>
      </c>
      <c r="I78" s="30">
        <v>1.5</v>
      </c>
      <c r="J78" s="31">
        <v>0.12</v>
      </c>
      <c r="K78" s="32">
        <f t="shared" si="8"/>
        <v>46.2</v>
      </c>
      <c r="L78" s="33">
        <v>30</v>
      </c>
      <c r="M78" s="32">
        <f t="shared" si="9"/>
        <v>1386</v>
      </c>
      <c r="N78" s="31">
        <v>0.05</v>
      </c>
      <c r="O78" s="32">
        <f t="shared" si="10"/>
        <v>69.3</v>
      </c>
      <c r="P78" s="32">
        <f t="shared" si="11"/>
        <v>1316.7</v>
      </c>
    </row>
    <row r="79" spans="1:16" ht="15" customHeight="1" x14ac:dyDescent="0.35">
      <c r="A79" s="10" t="s">
        <v>130</v>
      </c>
      <c r="B79" s="10" t="s">
        <v>121</v>
      </c>
      <c r="C79" s="10" t="s">
        <v>66</v>
      </c>
      <c r="D79" s="10" t="s">
        <v>51</v>
      </c>
      <c r="E79" s="10" t="s">
        <v>52</v>
      </c>
      <c r="F79" s="10" t="s">
        <v>38</v>
      </c>
      <c r="G79" s="10" t="s">
        <v>39</v>
      </c>
      <c r="H79" s="11">
        <v>185</v>
      </c>
      <c r="I79" s="12">
        <v>1</v>
      </c>
      <c r="J79" s="13">
        <v>0</v>
      </c>
      <c r="K79" s="14">
        <f t="shared" si="8"/>
        <v>185</v>
      </c>
      <c r="L79" s="15">
        <v>45</v>
      </c>
      <c r="M79" s="14">
        <f t="shared" si="9"/>
        <v>8325</v>
      </c>
      <c r="N79" s="13">
        <v>0.04</v>
      </c>
      <c r="O79" s="14">
        <f t="shared" si="10"/>
        <v>333</v>
      </c>
      <c r="P79" s="14">
        <f t="shared" si="11"/>
        <v>7992</v>
      </c>
    </row>
    <row r="80" spans="1:16" ht="15" customHeight="1" x14ac:dyDescent="0.35">
      <c r="A80" s="10" t="s">
        <v>131</v>
      </c>
      <c r="B80" s="10" t="s">
        <v>121</v>
      </c>
      <c r="C80" s="10" t="s">
        <v>66</v>
      </c>
      <c r="D80" s="10" t="s">
        <v>51</v>
      </c>
      <c r="E80" s="10" t="s">
        <v>52</v>
      </c>
      <c r="F80" s="10" t="s">
        <v>41</v>
      </c>
      <c r="G80" s="10" t="s">
        <v>42</v>
      </c>
      <c r="H80" s="11">
        <v>95</v>
      </c>
      <c r="I80" s="12">
        <v>1</v>
      </c>
      <c r="J80" s="13">
        <v>0</v>
      </c>
      <c r="K80" s="14">
        <f t="shared" si="8"/>
        <v>95</v>
      </c>
      <c r="L80" s="15">
        <v>160</v>
      </c>
      <c r="M80" s="14">
        <f t="shared" si="9"/>
        <v>15200</v>
      </c>
      <c r="N80" s="13">
        <v>0.04</v>
      </c>
      <c r="O80" s="14">
        <f t="shared" si="10"/>
        <v>608</v>
      </c>
      <c r="P80" s="14">
        <f t="shared" si="11"/>
        <v>14592</v>
      </c>
    </row>
    <row r="81" spans="1:16" ht="15" customHeight="1" x14ac:dyDescent="0.35">
      <c r="A81" s="10" t="s">
        <v>132</v>
      </c>
      <c r="B81" s="10" t="s">
        <v>121</v>
      </c>
      <c r="C81" s="10" t="s">
        <v>66</v>
      </c>
      <c r="D81" s="10" t="s">
        <v>51</v>
      </c>
      <c r="E81" s="10" t="s">
        <v>52</v>
      </c>
      <c r="F81" s="10" t="s">
        <v>48</v>
      </c>
      <c r="G81" s="10" t="s">
        <v>49</v>
      </c>
      <c r="H81" s="11">
        <v>55</v>
      </c>
      <c r="I81" s="12">
        <v>1</v>
      </c>
      <c r="J81" s="13">
        <v>0</v>
      </c>
      <c r="K81" s="14">
        <f t="shared" si="8"/>
        <v>55</v>
      </c>
      <c r="L81" s="15">
        <v>230</v>
      </c>
      <c r="M81" s="14">
        <f t="shared" si="9"/>
        <v>12650</v>
      </c>
      <c r="N81" s="13">
        <v>0.04</v>
      </c>
      <c r="O81" s="14">
        <f t="shared" si="10"/>
        <v>506</v>
      </c>
      <c r="P81" s="14">
        <f t="shared" si="11"/>
        <v>12144</v>
      </c>
    </row>
    <row r="82" spans="1:16" ht="15" customHeight="1" x14ac:dyDescent="0.35">
      <c r="A82" s="10" t="s">
        <v>133</v>
      </c>
      <c r="B82" s="10" t="s">
        <v>121</v>
      </c>
      <c r="C82" s="10" t="s">
        <v>66</v>
      </c>
      <c r="D82" s="10" t="s">
        <v>51</v>
      </c>
      <c r="E82" s="10" t="s">
        <v>52</v>
      </c>
      <c r="F82" s="10" t="s">
        <v>69</v>
      </c>
      <c r="G82" s="10" t="s">
        <v>70</v>
      </c>
      <c r="H82" s="11">
        <v>35</v>
      </c>
      <c r="I82" s="12">
        <v>1</v>
      </c>
      <c r="J82" s="13">
        <v>0</v>
      </c>
      <c r="K82" s="14">
        <f t="shared" si="8"/>
        <v>35</v>
      </c>
      <c r="L82" s="15">
        <v>280</v>
      </c>
      <c r="M82" s="14">
        <f t="shared" si="9"/>
        <v>9800</v>
      </c>
      <c r="N82" s="13">
        <v>0.04</v>
      </c>
      <c r="O82" s="14">
        <f t="shared" si="10"/>
        <v>392</v>
      </c>
      <c r="P82" s="14">
        <f t="shared" si="11"/>
        <v>9408</v>
      </c>
    </row>
    <row r="83" spans="1:16" ht="15" customHeight="1" x14ac:dyDescent="0.35">
      <c r="A83" s="10" t="s">
        <v>134</v>
      </c>
      <c r="B83" s="10" t="s">
        <v>121</v>
      </c>
      <c r="C83" s="10" t="s">
        <v>66</v>
      </c>
      <c r="D83" s="10" t="s">
        <v>51</v>
      </c>
      <c r="E83" s="10" t="s">
        <v>52</v>
      </c>
      <c r="F83" s="10" t="s">
        <v>81</v>
      </c>
      <c r="G83" s="10" t="s">
        <v>82</v>
      </c>
      <c r="H83" s="11">
        <v>25</v>
      </c>
      <c r="I83" s="12">
        <v>1</v>
      </c>
      <c r="J83" s="13">
        <v>0</v>
      </c>
      <c r="K83" s="14">
        <f t="shared" si="8"/>
        <v>25</v>
      </c>
      <c r="L83" s="15">
        <v>95</v>
      </c>
      <c r="M83" s="14">
        <f t="shared" si="9"/>
        <v>2375</v>
      </c>
      <c r="N83" s="13">
        <v>0.04</v>
      </c>
      <c r="O83" s="14">
        <f t="shared" si="10"/>
        <v>95</v>
      </c>
      <c r="P83" s="14">
        <f t="shared" si="11"/>
        <v>2280</v>
      </c>
    </row>
    <row r="84" spans="1:16" ht="15" customHeight="1" x14ac:dyDescent="0.35">
      <c r="A84" s="16" t="s">
        <v>135</v>
      </c>
      <c r="B84" s="16" t="s">
        <v>121</v>
      </c>
      <c r="C84" s="16" t="s">
        <v>66</v>
      </c>
      <c r="D84" s="16" t="s">
        <v>56</v>
      </c>
      <c r="E84" s="16" t="s">
        <v>57</v>
      </c>
      <c r="F84" s="16" t="s">
        <v>41</v>
      </c>
      <c r="G84" s="16" t="s">
        <v>42</v>
      </c>
      <c r="H84" s="17">
        <v>95</v>
      </c>
      <c r="I84" s="18">
        <v>1.1000000000000001</v>
      </c>
      <c r="J84" s="19">
        <v>0</v>
      </c>
      <c r="K84" s="20">
        <f t="shared" si="8"/>
        <v>104.50000000000001</v>
      </c>
      <c r="L84" s="21">
        <v>110</v>
      </c>
      <c r="M84" s="20">
        <f t="shared" si="9"/>
        <v>11495.000000000002</v>
      </c>
      <c r="N84" s="19">
        <v>0.04</v>
      </c>
      <c r="O84" s="20">
        <f t="shared" si="10"/>
        <v>459.80000000000007</v>
      </c>
      <c r="P84" s="20">
        <f t="shared" si="11"/>
        <v>11035.200000000003</v>
      </c>
    </row>
    <row r="85" spans="1:16" ht="15" customHeight="1" x14ac:dyDescent="0.35">
      <c r="A85" s="16" t="s">
        <v>136</v>
      </c>
      <c r="B85" s="16" t="s">
        <v>121</v>
      </c>
      <c r="C85" s="16" t="s">
        <v>66</v>
      </c>
      <c r="D85" s="16" t="s">
        <v>56</v>
      </c>
      <c r="E85" s="16" t="s">
        <v>57</v>
      </c>
      <c r="F85" s="16" t="s">
        <v>48</v>
      </c>
      <c r="G85" s="16" t="s">
        <v>49</v>
      </c>
      <c r="H85" s="17">
        <v>55</v>
      </c>
      <c r="I85" s="18">
        <v>1.1000000000000001</v>
      </c>
      <c r="J85" s="19">
        <v>0</v>
      </c>
      <c r="K85" s="20">
        <f t="shared" si="8"/>
        <v>60.500000000000007</v>
      </c>
      <c r="L85" s="21">
        <v>180</v>
      </c>
      <c r="M85" s="20">
        <f t="shared" si="9"/>
        <v>10890.000000000002</v>
      </c>
      <c r="N85" s="19">
        <v>0.04</v>
      </c>
      <c r="O85" s="20">
        <f t="shared" si="10"/>
        <v>435.60000000000008</v>
      </c>
      <c r="P85" s="20">
        <f t="shared" si="11"/>
        <v>10454.400000000001</v>
      </c>
    </row>
    <row r="86" spans="1:16" ht="15" customHeight="1" x14ac:dyDescent="0.35">
      <c r="A86" s="16" t="s">
        <v>137</v>
      </c>
      <c r="B86" s="16" t="s">
        <v>121</v>
      </c>
      <c r="C86" s="16" t="s">
        <v>66</v>
      </c>
      <c r="D86" s="16" t="s">
        <v>56</v>
      </c>
      <c r="E86" s="16" t="s">
        <v>57</v>
      </c>
      <c r="F86" s="16" t="s">
        <v>69</v>
      </c>
      <c r="G86" s="16" t="s">
        <v>70</v>
      </c>
      <c r="H86" s="17">
        <v>35</v>
      </c>
      <c r="I86" s="18">
        <v>1.1000000000000001</v>
      </c>
      <c r="J86" s="19">
        <v>0</v>
      </c>
      <c r="K86" s="20">
        <f t="shared" si="8"/>
        <v>38.5</v>
      </c>
      <c r="L86" s="21">
        <v>210</v>
      </c>
      <c r="M86" s="20">
        <f t="shared" si="9"/>
        <v>8085</v>
      </c>
      <c r="N86" s="19">
        <v>0.04</v>
      </c>
      <c r="O86" s="20">
        <f t="shared" si="10"/>
        <v>323.40000000000003</v>
      </c>
      <c r="P86" s="20">
        <f t="shared" si="11"/>
        <v>7761.6</v>
      </c>
    </row>
    <row r="87" spans="1:16" ht="15" customHeight="1" x14ac:dyDescent="0.35">
      <c r="A87" s="22" t="s">
        <v>138</v>
      </c>
      <c r="B87" s="22" t="s">
        <v>121</v>
      </c>
      <c r="C87" s="22" t="s">
        <v>66</v>
      </c>
      <c r="D87" s="22" t="s">
        <v>60</v>
      </c>
      <c r="E87" s="22" t="s">
        <v>61</v>
      </c>
      <c r="F87" s="22" t="s">
        <v>41</v>
      </c>
      <c r="G87" s="22" t="s">
        <v>42</v>
      </c>
      <c r="H87" s="23">
        <v>95</v>
      </c>
      <c r="I87" s="24">
        <v>1.2</v>
      </c>
      <c r="J87" s="25">
        <v>0</v>
      </c>
      <c r="K87" s="26">
        <f t="shared" si="8"/>
        <v>114</v>
      </c>
      <c r="L87" s="27">
        <v>60</v>
      </c>
      <c r="M87" s="26">
        <f t="shared" si="9"/>
        <v>6840</v>
      </c>
      <c r="N87" s="25">
        <v>0.05</v>
      </c>
      <c r="O87" s="26">
        <f t="shared" si="10"/>
        <v>342</v>
      </c>
      <c r="P87" s="26">
        <f t="shared" si="11"/>
        <v>6498</v>
      </c>
    </row>
    <row r="88" spans="1:16" ht="15" customHeight="1" x14ac:dyDescent="0.35">
      <c r="A88" s="22" t="s">
        <v>139</v>
      </c>
      <c r="B88" s="22" t="s">
        <v>121</v>
      </c>
      <c r="C88" s="22" t="s">
        <v>66</v>
      </c>
      <c r="D88" s="22" t="s">
        <v>60</v>
      </c>
      <c r="E88" s="22" t="s">
        <v>61</v>
      </c>
      <c r="F88" s="22" t="s">
        <v>48</v>
      </c>
      <c r="G88" s="22" t="s">
        <v>49</v>
      </c>
      <c r="H88" s="23">
        <v>55</v>
      </c>
      <c r="I88" s="24">
        <v>1.2</v>
      </c>
      <c r="J88" s="25">
        <v>0</v>
      </c>
      <c r="K88" s="26">
        <f t="shared" si="8"/>
        <v>66</v>
      </c>
      <c r="L88" s="27">
        <v>110</v>
      </c>
      <c r="M88" s="26">
        <f t="shared" si="9"/>
        <v>7260</v>
      </c>
      <c r="N88" s="25">
        <v>0.05</v>
      </c>
      <c r="O88" s="26">
        <f t="shared" si="10"/>
        <v>363</v>
      </c>
      <c r="P88" s="26">
        <f t="shared" si="11"/>
        <v>6897</v>
      </c>
    </row>
    <row r="89" spans="1:16" ht="15" customHeight="1" x14ac:dyDescent="0.35">
      <c r="A89" s="22" t="s">
        <v>140</v>
      </c>
      <c r="B89" s="22" t="s">
        <v>121</v>
      </c>
      <c r="C89" s="22" t="s">
        <v>66</v>
      </c>
      <c r="D89" s="22" t="s">
        <v>60</v>
      </c>
      <c r="E89" s="22" t="s">
        <v>61</v>
      </c>
      <c r="F89" s="22" t="s">
        <v>69</v>
      </c>
      <c r="G89" s="22" t="s">
        <v>70</v>
      </c>
      <c r="H89" s="23">
        <v>35</v>
      </c>
      <c r="I89" s="24">
        <v>1.2</v>
      </c>
      <c r="J89" s="25">
        <v>0</v>
      </c>
      <c r="K89" s="26">
        <f t="shared" si="8"/>
        <v>42</v>
      </c>
      <c r="L89" s="27">
        <v>160</v>
      </c>
      <c r="M89" s="26">
        <f t="shared" si="9"/>
        <v>6720</v>
      </c>
      <c r="N89" s="25">
        <v>0.05</v>
      </c>
      <c r="O89" s="26">
        <f t="shared" si="10"/>
        <v>336</v>
      </c>
      <c r="P89" s="26">
        <f t="shared" si="11"/>
        <v>6384</v>
      </c>
    </row>
    <row r="90" spans="1:16" ht="15" customHeight="1" x14ac:dyDescent="0.35">
      <c r="A90" s="28" t="s">
        <v>141</v>
      </c>
      <c r="B90" s="28" t="s">
        <v>121</v>
      </c>
      <c r="C90" s="28" t="s">
        <v>66</v>
      </c>
      <c r="D90" s="28" t="s">
        <v>63</v>
      </c>
      <c r="E90" s="28" t="s">
        <v>64</v>
      </c>
      <c r="F90" s="28" t="s">
        <v>48</v>
      </c>
      <c r="G90" s="28" t="s">
        <v>49</v>
      </c>
      <c r="H90" s="29">
        <v>55</v>
      </c>
      <c r="I90" s="30">
        <v>1.35</v>
      </c>
      <c r="J90" s="31">
        <v>0</v>
      </c>
      <c r="K90" s="32">
        <f t="shared" si="8"/>
        <v>74.25</v>
      </c>
      <c r="L90" s="33">
        <v>85</v>
      </c>
      <c r="M90" s="32">
        <f t="shared" si="9"/>
        <v>6311.25</v>
      </c>
      <c r="N90" s="31">
        <v>0.05</v>
      </c>
      <c r="O90" s="32">
        <f t="shared" si="10"/>
        <v>315.5625</v>
      </c>
      <c r="P90" s="32">
        <f t="shared" si="11"/>
        <v>5995.6875</v>
      </c>
    </row>
    <row r="91" spans="1:16" ht="15" customHeight="1" x14ac:dyDescent="0.35">
      <c r="A91" s="28" t="s">
        <v>142</v>
      </c>
      <c r="B91" s="28" t="s">
        <v>121</v>
      </c>
      <c r="C91" s="28" t="s">
        <v>66</v>
      </c>
      <c r="D91" s="28" t="s">
        <v>63</v>
      </c>
      <c r="E91" s="28" t="s">
        <v>64</v>
      </c>
      <c r="F91" s="28" t="s">
        <v>69</v>
      </c>
      <c r="G91" s="28" t="s">
        <v>70</v>
      </c>
      <c r="H91" s="29">
        <v>35</v>
      </c>
      <c r="I91" s="30">
        <v>1.35</v>
      </c>
      <c r="J91" s="31">
        <v>0</v>
      </c>
      <c r="K91" s="32">
        <f t="shared" si="8"/>
        <v>47.25</v>
      </c>
      <c r="L91" s="33">
        <v>130</v>
      </c>
      <c r="M91" s="32">
        <f t="shared" si="9"/>
        <v>6142.5</v>
      </c>
      <c r="N91" s="31">
        <v>0.05</v>
      </c>
      <c r="O91" s="32">
        <f t="shared" si="10"/>
        <v>307.125</v>
      </c>
      <c r="P91" s="32">
        <f t="shared" si="11"/>
        <v>5835.375</v>
      </c>
    </row>
    <row r="92" spans="1:16" ht="15" customHeight="1" x14ac:dyDescent="0.35">
      <c r="A92" s="28" t="s">
        <v>143</v>
      </c>
      <c r="B92" s="28" t="s">
        <v>121</v>
      </c>
      <c r="C92" s="28" t="s">
        <v>66</v>
      </c>
      <c r="D92" s="28" t="s">
        <v>127</v>
      </c>
      <c r="E92" s="28" t="s">
        <v>128</v>
      </c>
      <c r="F92" s="28" t="s">
        <v>48</v>
      </c>
      <c r="G92" s="28" t="s">
        <v>49</v>
      </c>
      <c r="H92" s="29">
        <v>55</v>
      </c>
      <c r="I92" s="30">
        <v>1.5</v>
      </c>
      <c r="J92" s="31">
        <v>0</v>
      </c>
      <c r="K92" s="32">
        <f t="shared" si="8"/>
        <v>82.5</v>
      </c>
      <c r="L92" s="33">
        <v>70</v>
      </c>
      <c r="M92" s="32">
        <f t="shared" si="9"/>
        <v>5775</v>
      </c>
      <c r="N92" s="31">
        <v>0.05</v>
      </c>
      <c r="O92" s="32">
        <f t="shared" si="10"/>
        <v>288.75</v>
      </c>
      <c r="P92" s="32">
        <f t="shared" si="11"/>
        <v>5486.25</v>
      </c>
    </row>
    <row r="93" spans="1:16" ht="15" customHeight="1" x14ac:dyDescent="0.35">
      <c r="A93" s="28" t="s">
        <v>144</v>
      </c>
      <c r="B93" s="28" t="s">
        <v>121</v>
      </c>
      <c r="C93" s="28" t="s">
        <v>66</v>
      </c>
      <c r="D93" s="28" t="s">
        <v>127</v>
      </c>
      <c r="E93" s="28" t="s">
        <v>128</v>
      </c>
      <c r="F93" s="28" t="s">
        <v>69</v>
      </c>
      <c r="G93" s="28" t="s">
        <v>70</v>
      </c>
      <c r="H93" s="29">
        <v>35</v>
      </c>
      <c r="I93" s="30">
        <v>1.5</v>
      </c>
      <c r="J93" s="31">
        <v>0</v>
      </c>
      <c r="K93" s="32">
        <f t="shared" si="8"/>
        <v>52.5</v>
      </c>
      <c r="L93" s="33">
        <v>190</v>
      </c>
      <c r="M93" s="32">
        <f t="shared" si="9"/>
        <v>9975</v>
      </c>
      <c r="N93" s="31">
        <v>0.05</v>
      </c>
      <c r="O93" s="32">
        <f t="shared" si="10"/>
        <v>498.75</v>
      </c>
      <c r="P93" s="32">
        <f t="shared" si="11"/>
        <v>9476.25</v>
      </c>
    </row>
    <row r="94" spans="1:16" ht="15" customHeight="1" x14ac:dyDescent="0.35">
      <c r="A94" s="34" t="s">
        <v>145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6">
        <f>SUM(L10:L93)</f>
        <v>18355</v>
      </c>
      <c r="M94" s="37">
        <f>SUM(M10:M93)</f>
        <v>1156451.0999999999</v>
      </c>
      <c r="N94" s="35"/>
      <c r="O94" s="37">
        <f>SUM(O10:O93)</f>
        <v>90127.722000000009</v>
      </c>
      <c r="P94" s="37">
        <f>SUM(P10:P93)</f>
        <v>1066323.378</v>
      </c>
    </row>
    <row r="95" spans="1:16" ht="15" customHeight="1" x14ac:dyDescent="0.35">
      <c r="A95" s="38" t="s">
        <v>146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40">
        <f>L10+L11+L12+L13+L14+L15+L16+L17+L18+L19+L20+L21+L22+L23+L24+L25+L26+L27+L28+L29+L30+L31+L32+L33+L34+L35+L36+L37+L38+L39+L40+L41+L42+L43+L44</f>
        <v>8775</v>
      </c>
      <c r="M95" s="41">
        <f>M10+M11+M12+M13+M14+M15+M16+M17+M18+M19+M20+M21+M22+M23+M24+M25+M26+M27+M28+M29+M30+M31+M32+M33+M34+M35+M36+M37+M38+M39+M40+M41+M42+M43+M44</f>
        <v>584948.19999999995</v>
      </c>
      <c r="N95" s="39"/>
      <c r="O95" s="41">
        <f>O10+O11+O12+O13+O14+O15+O16+O17+O18+O19+O20+O21+O22+O23+O24+O25+O26+O27+O28+O29+O30+O31+O32+O33+O34+O35+O36+O37+O38+O39+O40+O41+O42+O43+O44</f>
        <v>55283.163999999997</v>
      </c>
      <c r="P95" s="41">
        <f>P10+P11+P12+P13+P14+P15+P16+P17+P18+P19+P20+P21+P22+P23+P24+P25+P26+P27+P28+P29+P30+P31+P32+P33+P34+P35+P36+P37+P38+P39+P40+P41+P42+P43+P44</f>
        <v>529665.03600000008</v>
      </c>
    </row>
    <row r="96" spans="1:16" ht="15" customHeight="1" x14ac:dyDescent="0.35">
      <c r="A96" s="42" t="s">
        <v>147</v>
      </c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4">
        <f>L45+L46+L47+L48+L49+L50+L51+L52+L53+L54+L55+L56+L57+L58+L59+L60+L61+L62+L63+L64+L65+L66+L67+L68+L69+L70+L71</f>
        <v>6955</v>
      </c>
      <c r="M96" s="45">
        <f>M45+M46+M47+M48+M49+M50+M51+M52+M53+M54+M55+M56+M57+M58+M59+M60+M61+M62+M63+M64+M65+M66+M67+M68+M69+M70+M71</f>
        <v>412566.55000000005</v>
      </c>
      <c r="N96" s="43"/>
      <c r="O96" s="45">
        <f>O45+O46+O47+O48+O49+O50+O51+O52+O53+O54+O55+O56+O57+O58+O59+O60+O61+O62+O63+O64+O65+O66+O67+O68+O69+O70+O71</f>
        <v>27906.7765</v>
      </c>
      <c r="P96" s="45">
        <f>P45+P46+P47+P48+P49+P50+P51+P52+P53+P54+P55+P56+P57+P58+P59+P60+P61+P62+P63+P64+P65+P66+P67+P68+P69+P70+P71</f>
        <v>384659.77350000001</v>
      </c>
    </row>
    <row r="97" spans="1:16" ht="15" customHeight="1" x14ac:dyDescent="0.35">
      <c r="A97" s="46" t="s">
        <v>148</v>
      </c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8">
        <f>L72+L73+L74+L75+L76+L77+L78+L79+L80+L81+L82+L83+L84+L85+L86+L87+L88+L89+L90+L91+L92+L93</f>
        <v>2625</v>
      </c>
      <c r="M97" s="49">
        <f>M72+M73+M74+M75+M76+M77+M78+M79+M80+M81+M82+M83+M84+M85+M86+M87+M88+M89+M90+M91+M92+M93</f>
        <v>158936.35</v>
      </c>
      <c r="N97" s="47"/>
      <c r="O97" s="49">
        <f>O72+O73+O74+O75+O76+O77+O78+O79+O80+O81+O82+O83+O84+O85+O86+O87+O88+O89+O90+O91+O92+O93</f>
        <v>6937.7815000000001</v>
      </c>
      <c r="P97" s="49">
        <f>P72+P73+P74+P75+P76+P77+P78+P79+P80+P81+P82+P83+P84+P85+P86+P87+P88+P89+P90+P91+P92+P93</f>
        <v>151998.56850000002</v>
      </c>
    </row>
  </sheetData>
  <autoFilter ref="A9:P97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showGridLines="0" zoomScaleNormal="100" workbookViewId="0">
      <pane ySplit="6" topLeftCell="A7" activePane="bottomLeft" state="frozen"/>
      <selection pane="bottomLeft" activeCell="D8" sqref="D8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14" customWidth="1"/>
    <col min="4" max="4" width="13" customWidth="1"/>
    <col min="5" max="5" width="10" customWidth="1"/>
    <col min="6" max="6" width="14" customWidth="1"/>
    <col min="7" max="7" width="16" customWidth="1"/>
    <col min="8" max="8" width="14" customWidth="1"/>
    <col min="9" max="9" width="17" customWidth="1"/>
    <col min="10" max="10" width="14" customWidth="1"/>
  </cols>
  <sheetData>
    <row r="1" spans="1:10" ht="15" customHeight="1" x14ac:dyDescent="0.35">
      <c r="A1" s="1" t="s">
        <v>0</v>
      </c>
      <c r="B1" s="2" t="s">
        <v>1</v>
      </c>
    </row>
    <row r="2" spans="1:10" ht="15" customHeight="1" x14ac:dyDescent="0.35">
      <c r="A2" s="1" t="s">
        <v>2</v>
      </c>
      <c r="B2" s="2" t="s">
        <v>3</v>
      </c>
    </row>
    <row r="3" spans="1:10" ht="15" customHeight="1" x14ac:dyDescent="0.35">
      <c r="A3" s="1" t="s">
        <v>4</v>
      </c>
      <c r="B3" s="2" t="s">
        <v>5</v>
      </c>
    </row>
    <row r="4" spans="1:10" ht="15" customHeight="1" x14ac:dyDescent="0.35">
      <c r="A4" s="1" t="s">
        <v>149</v>
      </c>
      <c r="B4" s="2" t="s">
        <v>150</v>
      </c>
    </row>
    <row r="5" spans="1:10" ht="9.75" customHeight="1" x14ac:dyDescent="0.35"/>
    <row r="6" spans="1:10" ht="43.5" customHeight="1" x14ac:dyDescent="0.35">
      <c r="A6" s="3" t="s">
        <v>15</v>
      </c>
      <c r="B6" s="3" t="s">
        <v>17</v>
      </c>
      <c r="C6" s="3" t="s">
        <v>18</v>
      </c>
      <c r="D6" s="3" t="s">
        <v>151</v>
      </c>
      <c r="E6" s="3" t="s">
        <v>152</v>
      </c>
      <c r="F6" s="3" t="s">
        <v>153</v>
      </c>
      <c r="G6" s="3" t="s">
        <v>26</v>
      </c>
      <c r="H6" s="3" t="s">
        <v>154</v>
      </c>
      <c r="I6" s="3" t="s">
        <v>29</v>
      </c>
      <c r="J6" s="3" t="s">
        <v>155</v>
      </c>
    </row>
    <row r="7" spans="1:10" ht="15" customHeight="1" x14ac:dyDescent="0.35">
      <c r="A7" s="4" t="s">
        <v>31</v>
      </c>
      <c r="B7" s="4" t="s">
        <v>33</v>
      </c>
      <c r="C7" s="4" t="s">
        <v>34</v>
      </c>
      <c r="D7" s="7">
        <v>0.08</v>
      </c>
      <c r="E7" s="50">
        <f>'Ticket Sales Log'!L10+'Ticket Sales Log'!L11+'Ticket Sales Log'!L12+'Ticket Sales Log'!L23+'Ticket Sales Log'!L24+'Ticket Sales Log'!L25</f>
        <v>1413</v>
      </c>
      <c r="F7" s="8">
        <f t="shared" ref="F7:F24" si="0">IF(G7&gt;0,G7/E7,0)</f>
        <v>53.965180467091294</v>
      </c>
      <c r="G7" s="8">
        <f>'Ticket Sales Log'!M10+'Ticket Sales Log'!M11+'Ticket Sales Log'!M12+'Ticket Sales Log'!M23+'Ticket Sales Log'!M24+'Ticket Sales Log'!M25</f>
        <v>76252.800000000003</v>
      </c>
      <c r="H7" s="8">
        <f>'Ticket Sales Log'!O10+'Ticket Sales Log'!O11+'Ticket Sales Log'!O12+'Ticket Sales Log'!O23+'Ticket Sales Log'!O24+'Ticket Sales Log'!O25</f>
        <v>6100.2240000000002</v>
      </c>
      <c r="I7" s="8">
        <f>'Ticket Sales Log'!P10+'Ticket Sales Log'!P11+'Ticket Sales Log'!P12+'Ticket Sales Log'!P23+'Ticket Sales Log'!P24+'Ticket Sales Log'!P25</f>
        <v>70152.576000000001</v>
      </c>
      <c r="J7" s="51">
        <f t="shared" ref="J7:J24" si="1">IF(G7&gt;0,I7/G7,0)</f>
        <v>0.91999999999999993</v>
      </c>
    </row>
    <row r="8" spans="1:10" ht="15" customHeight="1" x14ac:dyDescent="0.35">
      <c r="A8" s="4" t="s">
        <v>31</v>
      </c>
      <c r="B8" s="4" t="s">
        <v>44</v>
      </c>
      <c r="C8" s="4" t="s">
        <v>45</v>
      </c>
      <c r="D8" s="7">
        <v>0.08</v>
      </c>
      <c r="E8" s="50">
        <f>'Ticket Sales Log'!L13+'Ticket Sales Log'!L14+'Ticket Sales Log'!L15+'Ticket Sales Log'!L26+'Ticket Sales Log'!L27+'Ticket Sales Log'!L28+'Ticket Sales Log'!L29</f>
        <v>2192</v>
      </c>
      <c r="F8" s="8">
        <f t="shared" si="0"/>
        <v>59.324452554744525</v>
      </c>
      <c r="G8" s="8">
        <f>'Ticket Sales Log'!M13+'Ticket Sales Log'!M14+'Ticket Sales Log'!M15+'Ticket Sales Log'!M26+'Ticket Sales Log'!M27+'Ticket Sales Log'!M28+'Ticket Sales Log'!M29</f>
        <v>130039.2</v>
      </c>
      <c r="H8" s="8">
        <f>'Ticket Sales Log'!O13+'Ticket Sales Log'!O14+'Ticket Sales Log'!O15+'Ticket Sales Log'!O26+'Ticket Sales Log'!O27+'Ticket Sales Log'!O28+'Ticket Sales Log'!O29</f>
        <v>10403.135999999999</v>
      </c>
      <c r="I8" s="8">
        <f>'Ticket Sales Log'!P13+'Ticket Sales Log'!P14+'Ticket Sales Log'!P15+'Ticket Sales Log'!P26+'Ticket Sales Log'!P27+'Ticket Sales Log'!P28+'Ticket Sales Log'!P29</f>
        <v>119636.064</v>
      </c>
      <c r="J8" s="51">
        <f t="shared" si="1"/>
        <v>0.92</v>
      </c>
    </row>
    <row r="9" spans="1:10" ht="15" customHeight="1" x14ac:dyDescent="0.35">
      <c r="A9" s="10" t="s">
        <v>31</v>
      </c>
      <c r="B9" s="10" t="s">
        <v>51</v>
      </c>
      <c r="C9" s="10" t="s">
        <v>52</v>
      </c>
      <c r="D9" s="13">
        <v>0.1</v>
      </c>
      <c r="E9" s="52">
        <f>'Ticket Sales Log'!L16+'Ticket Sales Log'!L17+'Ticket Sales Log'!L18+'Ticket Sales Log'!L30+'Ticket Sales Log'!L31+'Ticket Sales Log'!L32+'Ticket Sales Log'!L33+'Ticket Sales Log'!L34+'Ticket Sales Log'!L35</f>
        <v>3080</v>
      </c>
      <c r="F9" s="14">
        <f t="shared" si="0"/>
        <v>73.61753246753247</v>
      </c>
      <c r="G9" s="14">
        <f>'Ticket Sales Log'!M16+'Ticket Sales Log'!M17+'Ticket Sales Log'!M18+'Ticket Sales Log'!M30+'Ticket Sales Log'!M31+'Ticket Sales Log'!M32+'Ticket Sales Log'!M33+'Ticket Sales Log'!M34+'Ticket Sales Log'!M35</f>
        <v>226742</v>
      </c>
      <c r="H9" s="14">
        <f>'Ticket Sales Log'!O16+'Ticket Sales Log'!O17+'Ticket Sales Log'!O18+'Ticket Sales Log'!O30+'Ticket Sales Log'!O31+'Ticket Sales Log'!O32+'Ticket Sales Log'!O33+'Ticket Sales Log'!O34+'Ticket Sales Log'!O35</f>
        <v>22674.2</v>
      </c>
      <c r="I9" s="14">
        <f>'Ticket Sales Log'!P16+'Ticket Sales Log'!P17+'Ticket Sales Log'!P18+'Ticket Sales Log'!P30+'Ticket Sales Log'!P31+'Ticket Sales Log'!P32+'Ticket Sales Log'!P33+'Ticket Sales Log'!P34+'Ticket Sales Log'!P35</f>
        <v>204067.8</v>
      </c>
      <c r="J9" s="53">
        <f t="shared" si="1"/>
        <v>0.89999999999999991</v>
      </c>
    </row>
    <row r="10" spans="1:10" ht="15" customHeight="1" x14ac:dyDescent="0.35">
      <c r="A10" s="16" t="s">
        <v>31</v>
      </c>
      <c r="B10" s="16" t="s">
        <v>56</v>
      </c>
      <c r="C10" s="16" t="s">
        <v>57</v>
      </c>
      <c r="D10" s="19">
        <v>0.1</v>
      </c>
      <c r="E10" s="54">
        <f>'Ticket Sales Log'!L19+'Ticket Sales Log'!L20+'Ticket Sales Log'!L36+'Ticket Sales Log'!L37+'Ticket Sales Log'!L38+'Ticket Sales Log'!L39</f>
        <v>1360</v>
      </c>
      <c r="F10" s="20">
        <f t="shared" si="0"/>
        <v>78.091911764705898</v>
      </c>
      <c r="G10" s="20">
        <f>'Ticket Sales Log'!M19+'Ticket Sales Log'!M20+'Ticket Sales Log'!M36+'Ticket Sales Log'!M37+'Ticket Sales Log'!M38+'Ticket Sales Log'!M39</f>
        <v>106205.00000000001</v>
      </c>
      <c r="H10" s="20">
        <f>'Ticket Sales Log'!O19+'Ticket Sales Log'!O20+'Ticket Sales Log'!O36+'Ticket Sales Log'!O37+'Ticket Sales Log'!O38+'Ticket Sales Log'!O39</f>
        <v>10620.500000000002</v>
      </c>
      <c r="I10" s="20">
        <f>'Ticket Sales Log'!P19+'Ticket Sales Log'!P20+'Ticket Sales Log'!P36+'Ticket Sales Log'!P37+'Ticket Sales Log'!P38+'Ticket Sales Log'!P39</f>
        <v>95584.500000000015</v>
      </c>
      <c r="J10" s="55">
        <f t="shared" si="1"/>
        <v>0.9</v>
      </c>
    </row>
    <row r="11" spans="1:10" ht="15" customHeight="1" x14ac:dyDescent="0.35">
      <c r="A11" s="22" t="s">
        <v>31</v>
      </c>
      <c r="B11" s="22" t="s">
        <v>60</v>
      </c>
      <c r="C11" s="22" t="s">
        <v>61</v>
      </c>
      <c r="D11" s="25">
        <v>0.12</v>
      </c>
      <c r="E11" s="56">
        <f>'Ticket Sales Log'!L21+'Ticket Sales Log'!L40+'Ticket Sales Log'!L41+'Ticket Sales Log'!L42</f>
        <v>515</v>
      </c>
      <c r="F11" s="26">
        <f t="shared" si="0"/>
        <v>64.303689320388358</v>
      </c>
      <c r="G11" s="26">
        <f>'Ticket Sales Log'!M21+'Ticket Sales Log'!M40+'Ticket Sales Log'!M41+'Ticket Sales Log'!M42</f>
        <v>33116.400000000001</v>
      </c>
      <c r="H11" s="26">
        <f>'Ticket Sales Log'!O21+'Ticket Sales Log'!O40+'Ticket Sales Log'!O41+'Ticket Sales Log'!O42</f>
        <v>3973.9679999999998</v>
      </c>
      <c r="I11" s="26">
        <f>'Ticket Sales Log'!P21+'Ticket Sales Log'!P40+'Ticket Sales Log'!P41+'Ticket Sales Log'!P42</f>
        <v>29142.432000000001</v>
      </c>
      <c r="J11" s="57">
        <f t="shared" si="1"/>
        <v>0.88</v>
      </c>
    </row>
    <row r="12" spans="1:10" ht="15" customHeight="1" x14ac:dyDescent="0.35">
      <c r="A12" s="28" t="s">
        <v>31</v>
      </c>
      <c r="B12" s="28" t="s">
        <v>63</v>
      </c>
      <c r="C12" s="28" t="s">
        <v>64</v>
      </c>
      <c r="D12" s="31">
        <v>0.12</v>
      </c>
      <c r="E12" s="58">
        <f>'Ticket Sales Log'!L22+'Ticket Sales Log'!L43+'Ticket Sales Log'!L44</f>
        <v>215</v>
      </c>
      <c r="F12" s="32">
        <f t="shared" si="0"/>
        <v>58.57116279069767</v>
      </c>
      <c r="G12" s="32">
        <f>'Ticket Sales Log'!M22+'Ticket Sales Log'!M43+'Ticket Sales Log'!M44</f>
        <v>12592.8</v>
      </c>
      <c r="H12" s="32">
        <f>'Ticket Sales Log'!O22+'Ticket Sales Log'!O43+'Ticket Sales Log'!O44</f>
        <v>1511.136</v>
      </c>
      <c r="I12" s="32">
        <f>'Ticket Sales Log'!P22+'Ticket Sales Log'!P43+'Ticket Sales Log'!P44</f>
        <v>11081.664000000001</v>
      </c>
      <c r="J12" s="59">
        <f t="shared" si="1"/>
        <v>0.88000000000000012</v>
      </c>
    </row>
    <row r="13" spans="1:10" ht="15" customHeight="1" x14ac:dyDescent="0.35">
      <c r="A13" s="4" t="s">
        <v>93</v>
      </c>
      <c r="B13" s="4" t="s">
        <v>33</v>
      </c>
      <c r="C13" s="4" t="s">
        <v>34</v>
      </c>
      <c r="D13" s="7">
        <v>0.06</v>
      </c>
      <c r="E13" s="50">
        <f>'Ticket Sales Log'!L45+'Ticket Sales Log'!L46+'Ticket Sales Log'!L55+'Ticket Sales Log'!L56+'Ticket Sales Log'!L57</f>
        <v>1145</v>
      </c>
      <c r="F13" s="8">
        <f t="shared" si="0"/>
        <v>51.286637554585148</v>
      </c>
      <c r="G13" s="8">
        <f>'Ticket Sales Log'!M45+'Ticket Sales Log'!M46+'Ticket Sales Log'!M55+'Ticket Sales Log'!M56+'Ticket Sales Log'!M57</f>
        <v>58723.199999999997</v>
      </c>
      <c r="H13" s="8">
        <f>'Ticket Sales Log'!O45+'Ticket Sales Log'!O46+'Ticket Sales Log'!O55+'Ticket Sales Log'!O56+'Ticket Sales Log'!O57</f>
        <v>3523.3919999999998</v>
      </c>
      <c r="I13" s="8">
        <f>'Ticket Sales Log'!P45+'Ticket Sales Log'!P46+'Ticket Sales Log'!P55+'Ticket Sales Log'!P56+'Ticket Sales Log'!P57</f>
        <v>55199.808000000005</v>
      </c>
      <c r="J13" s="51">
        <f t="shared" si="1"/>
        <v>0.94000000000000017</v>
      </c>
    </row>
    <row r="14" spans="1:10" ht="15" customHeight="1" x14ac:dyDescent="0.35">
      <c r="A14" s="4" t="s">
        <v>93</v>
      </c>
      <c r="B14" s="4" t="s">
        <v>44</v>
      </c>
      <c r="C14" s="4" t="s">
        <v>45</v>
      </c>
      <c r="D14" s="7">
        <v>0.06</v>
      </c>
      <c r="E14" s="50">
        <f>'Ticket Sales Log'!L47+'Ticket Sales Log'!L48+'Ticket Sales Log'!L58+'Ticket Sales Log'!L59+'Ticket Sales Log'!L60</f>
        <v>1755</v>
      </c>
      <c r="F14" s="8">
        <f t="shared" si="0"/>
        <v>51.730769230769234</v>
      </c>
      <c r="G14" s="8">
        <f>'Ticket Sales Log'!M47+'Ticket Sales Log'!M48+'Ticket Sales Log'!M58+'Ticket Sales Log'!M59+'Ticket Sales Log'!M60</f>
        <v>90787.5</v>
      </c>
      <c r="H14" s="8">
        <f>'Ticket Sales Log'!O47+'Ticket Sales Log'!O48+'Ticket Sales Log'!O58+'Ticket Sales Log'!O59+'Ticket Sales Log'!O60</f>
        <v>5447.25</v>
      </c>
      <c r="I14" s="8">
        <f>'Ticket Sales Log'!P47+'Ticket Sales Log'!P48+'Ticket Sales Log'!P58+'Ticket Sales Log'!P59+'Ticket Sales Log'!P60</f>
        <v>85340.25</v>
      </c>
      <c r="J14" s="51">
        <f t="shared" si="1"/>
        <v>0.94</v>
      </c>
    </row>
    <row r="15" spans="1:10" ht="15" customHeight="1" x14ac:dyDescent="0.35">
      <c r="A15" s="10" t="s">
        <v>93</v>
      </c>
      <c r="B15" s="10" t="s">
        <v>51</v>
      </c>
      <c r="C15" s="10" t="s">
        <v>52</v>
      </c>
      <c r="D15" s="13">
        <v>7.0000000000000007E-2</v>
      </c>
      <c r="E15" s="52">
        <f>'Ticket Sales Log'!L49+'Ticket Sales Log'!L50+'Ticket Sales Log'!L61+'Ticket Sales Log'!L62+'Ticket Sales Log'!L63+'Ticket Sales Log'!L64+'Ticket Sales Log'!L65</f>
        <v>2490</v>
      </c>
      <c r="F15" s="14">
        <f t="shared" si="0"/>
        <v>66.308433734939754</v>
      </c>
      <c r="G15" s="14">
        <f>'Ticket Sales Log'!M49+'Ticket Sales Log'!M50+'Ticket Sales Log'!M61+'Ticket Sales Log'!M62+'Ticket Sales Log'!M63+'Ticket Sales Log'!M64+'Ticket Sales Log'!M65</f>
        <v>165108</v>
      </c>
      <c r="H15" s="14">
        <f>'Ticket Sales Log'!O49+'Ticket Sales Log'!O50+'Ticket Sales Log'!O61+'Ticket Sales Log'!O62+'Ticket Sales Log'!O63+'Ticket Sales Log'!O64+'Ticket Sales Log'!O65</f>
        <v>11557.560000000001</v>
      </c>
      <c r="I15" s="14">
        <f>'Ticket Sales Log'!P49+'Ticket Sales Log'!P50+'Ticket Sales Log'!P61+'Ticket Sales Log'!P62+'Ticket Sales Log'!P63+'Ticket Sales Log'!P64+'Ticket Sales Log'!P65</f>
        <v>153550.44</v>
      </c>
      <c r="J15" s="53">
        <f t="shared" si="1"/>
        <v>0.93</v>
      </c>
    </row>
    <row r="16" spans="1:10" ht="15" customHeight="1" x14ac:dyDescent="0.35">
      <c r="A16" s="16" t="s">
        <v>93</v>
      </c>
      <c r="B16" s="16" t="s">
        <v>56</v>
      </c>
      <c r="C16" s="16" t="s">
        <v>57</v>
      </c>
      <c r="D16" s="19">
        <v>7.0000000000000007E-2</v>
      </c>
      <c r="E16" s="54">
        <f>'Ticket Sales Log'!L51+'Ticket Sales Log'!L52+'Ticket Sales Log'!L66+'Ticket Sales Log'!L67+'Ticket Sales Log'!L68</f>
        <v>1070</v>
      </c>
      <c r="F16" s="20">
        <f t="shared" si="0"/>
        <v>67.137009345794397</v>
      </c>
      <c r="G16" s="20">
        <f>'Ticket Sales Log'!M51+'Ticket Sales Log'!M52+'Ticket Sales Log'!M66+'Ticket Sales Log'!M67+'Ticket Sales Log'!M68</f>
        <v>71836.600000000006</v>
      </c>
      <c r="H16" s="20">
        <f>'Ticket Sales Log'!O51+'Ticket Sales Log'!O52+'Ticket Sales Log'!O66+'Ticket Sales Log'!O67+'Ticket Sales Log'!O68</f>
        <v>5028.5620000000008</v>
      </c>
      <c r="I16" s="20">
        <f>'Ticket Sales Log'!P51+'Ticket Sales Log'!P52+'Ticket Sales Log'!P66+'Ticket Sales Log'!P67+'Ticket Sales Log'!P68</f>
        <v>66808.038</v>
      </c>
      <c r="J16" s="55">
        <f t="shared" si="1"/>
        <v>0.92999999999999994</v>
      </c>
    </row>
    <row r="17" spans="1:10" ht="15" customHeight="1" x14ac:dyDescent="0.35">
      <c r="A17" s="22" t="s">
        <v>93</v>
      </c>
      <c r="B17" s="22" t="s">
        <v>60</v>
      </c>
      <c r="C17" s="22" t="s">
        <v>61</v>
      </c>
      <c r="D17" s="25">
        <v>0.09</v>
      </c>
      <c r="E17" s="56">
        <f>'Ticket Sales Log'!L53+'Ticket Sales Log'!L69+'Ticket Sales Log'!L70</f>
        <v>365</v>
      </c>
      <c r="F17" s="26">
        <f t="shared" si="0"/>
        <v>52.974246575342463</v>
      </c>
      <c r="G17" s="26">
        <f>'Ticket Sales Log'!M53+'Ticket Sales Log'!M69+'Ticket Sales Log'!M70</f>
        <v>19335.599999999999</v>
      </c>
      <c r="H17" s="26">
        <f>'Ticket Sales Log'!O53+'Ticket Sales Log'!O69+'Ticket Sales Log'!O70</f>
        <v>1740.204</v>
      </c>
      <c r="I17" s="26">
        <f>'Ticket Sales Log'!P53+'Ticket Sales Log'!P69+'Ticket Sales Log'!P70</f>
        <v>17595.396000000001</v>
      </c>
      <c r="J17" s="57">
        <f t="shared" si="1"/>
        <v>0.91000000000000014</v>
      </c>
    </row>
    <row r="18" spans="1:10" ht="15" customHeight="1" x14ac:dyDescent="0.35">
      <c r="A18" s="28" t="s">
        <v>93</v>
      </c>
      <c r="B18" s="28" t="s">
        <v>63</v>
      </c>
      <c r="C18" s="28" t="s">
        <v>64</v>
      </c>
      <c r="D18" s="31">
        <v>0.09</v>
      </c>
      <c r="E18" s="58">
        <f>'Ticket Sales Log'!L54+'Ticket Sales Log'!L71</f>
        <v>130</v>
      </c>
      <c r="F18" s="32">
        <f t="shared" si="0"/>
        <v>52.120384615384616</v>
      </c>
      <c r="G18" s="32">
        <f>'Ticket Sales Log'!M54+'Ticket Sales Log'!M71</f>
        <v>6775.65</v>
      </c>
      <c r="H18" s="32">
        <f>'Ticket Sales Log'!O54+'Ticket Sales Log'!O71</f>
        <v>609.80849999999998</v>
      </c>
      <c r="I18" s="32">
        <f>'Ticket Sales Log'!P54+'Ticket Sales Log'!P71</f>
        <v>6165.8415000000005</v>
      </c>
      <c r="J18" s="59">
        <f t="shared" si="1"/>
        <v>0.91000000000000014</v>
      </c>
    </row>
    <row r="19" spans="1:10" ht="15" customHeight="1" x14ac:dyDescent="0.35">
      <c r="A19" s="10" t="s">
        <v>121</v>
      </c>
      <c r="B19" s="10" t="s">
        <v>51</v>
      </c>
      <c r="C19" s="10" t="s">
        <v>52</v>
      </c>
      <c r="D19" s="13">
        <v>0.04</v>
      </c>
      <c r="E19" s="52">
        <f>'Ticket Sales Log'!L72+'Ticket Sales Log'!L73+'Ticket Sales Log'!L79+'Ticket Sales Log'!L80+'Ticket Sales Log'!L81+'Ticket Sales Log'!L82+'Ticket Sales Log'!L83</f>
        <v>1080</v>
      </c>
      <c r="F19" s="14">
        <f t="shared" si="0"/>
        <v>60.779629629629632</v>
      </c>
      <c r="G19" s="14">
        <f>'Ticket Sales Log'!M72+'Ticket Sales Log'!M73+'Ticket Sales Log'!M79+'Ticket Sales Log'!M80+'Ticket Sales Log'!M81+'Ticket Sales Log'!M82+'Ticket Sales Log'!M83</f>
        <v>65642</v>
      </c>
      <c r="H19" s="14">
        <f>'Ticket Sales Log'!O72+'Ticket Sales Log'!O73+'Ticket Sales Log'!O79+'Ticket Sales Log'!O80+'Ticket Sales Log'!O81+'Ticket Sales Log'!O82+'Ticket Sales Log'!O83</f>
        <v>2625.6800000000003</v>
      </c>
      <c r="I19" s="14">
        <f>'Ticket Sales Log'!P72+'Ticket Sales Log'!P73+'Ticket Sales Log'!P79+'Ticket Sales Log'!P80+'Ticket Sales Log'!P81+'Ticket Sales Log'!P82+'Ticket Sales Log'!P83</f>
        <v>63016.32</v>
      </c>
      <c r="J19" s="53">
        <f t="shared" si="1"/>
        <v>0.96</v>
      </c>
    </row>
    <row r="20" spans="1:10" ht="15" customHeight="1" x14ac:dyDescent="0.35">
      <c r="A20" s="16" t="s">
        <v>121</v>
      </c>
      <c r="B20" s="16" t="s">
        <v>56</v>
      </c>
      <c r="C20" s="16" t="s">
        <v>57</v>
      </c>
      <c r="D20" s="19">
        <v>0.04</v>
      </c>
      <c r="E20" s="54">
        <f>'Ticket Sales Log'!L74+'Ticket Sales Log'!L84+'Ticket Sales Log'!L85+'Ticket Sales Log'!L86</f>
        <v>590</v>
      </c>
      <c r="F20" s="20">
        <f t="shared" si="0"/>
        <v>59.765423728813566</v>
      </c>
      <c r="G20" s="20">
        <f>'Ticket Sales Log'!M74+'Ticket Sales Log'!M84+'Ticket Sales Log'!M85+'Ticket Sales Log'!M86</f>
        <v>35261.600000000006</v>
      </c>
      <c r="H20" s="20">
        <f>'Ticket Sales Log'!O74+'Ticket Sales Log'!O84+'Ticket Sales Log'!O85+'Ticket Sales Log'!O86</f>
        <v>1410.4640000000002</v>
      </c>
      <c r="I20" s="20">
        <f>'Ticket Sales Log'!P74+'Ticket Sales Log'!P84+'Ticket Sales Log'!P85+'Ticket Sales Log'!P86</f>
        <v>33851.136000000006</v>
      </c>
      <c r="J20" s="55">
        <f t="shared" si="1"/>
        <v>0.96</v>
      </c>
    </row>
    <row r="21" spans="1:10" ht="15" customHeight="1" x14ac:dyDescent="0.35">
      <c r="A21" s="22" t="s">
        <v>121</v>
      </c>
      <c r="B21" s="22" t="s">
        <v>60</v>
      </c>
      <c r="C21" s="22" t="s">
        <v>61</v>
      </c>
      <c r="D21" s="25">
        <v>0.05</v>
      </c>
      <c r="E21" s="56">
        <f>'Ticket Sales Log'!L75+'Ticket Sales Log'!L87+'Ticket Sales Log'!L88+'Ticket Sales Log'!L89</f>
        <v>385</v>
      </c>
      <c r="F21" s="26">
        <f t="shared" si="0"/>
        <v>62.375064935064941</v>
      </c>
      <c r="G21" s="26">
        <f>'Ticket Sales Log'!M75+'Ticket Sales Log'!M87+'Ticket Sales Log'!M88+'Ticket Sales Log'!M89</f>
        <v>24014.400000000001</v>
      </c>
      <c r="H21" s="26">
        <f>'Ticket Sales Log'!O75+'Ticket Sales Log'!O87+'Ticket Sales Log'!O88+'Ticket Sales Log'!O89</f>
        <v>1200.72</v>
      </c>
      <c r="I21" s="26">
        <f>'Ticket Sales Log'!P75+'Ticket Sales Log'!P87+'Ticket Sales Log'!P88+'Ticket Sales Log'!P89</f>
        <v>22813.68</v>
      </c>
      <c r="J21" s="57">
        <f t="shared" si="1"/>
        <v>0.95</v>
      </c>
    </row>
    <row r="22" spans="1:10" ht="15" customHeight="1" x14ac:dyDescent="0.35">
      <c r="A22" s="28" t="s">
        <v>121</v>
      </c>
      <c r="B22" s="28" t="s">
        <v>63</v>
      </c>
      <c r="C22" s="28" t="s">
        <v>64</v>
      </c>
      <c r="D22" s="31">
        <v>0.05</v>
      </c>
      <c r="E22" s="58">
        <f>'Ticket Sales Log'!L76+'Ticket Sales Log'!L90+'Ticket Sales Log'!L91</f>
        <v>255</v>
      </c>
      <c r="F22" s="32">
        <f t="shared" si="0"/>
        <v>59.087647058823528</v>
      </c>
      <c r="G22" s="32">
        <f>'Ticket Sales Log'!M76+'Ticket Sales Log'!M90+'Ticket Sales Log'!M91</f>
        <v>15067.35</v>
      </c>
      <c r="H22" s="32">
        <f>'Ticket Sales Log'!O76+'Ticket Sales Log'!O90+'Ticket Sales Log'!O91</f>
        <v>753.36750000000006</v>
      </c>
      <c r="I22" s="32">
        <f>'Ticket Sales Log'!P76+'Ticket Sales Log'!P90+'Ticket Sales Log'!P91</f>
        <v>14313.9825</v>
      </c>
      <c r="J22" s="59">
        <f t="shared" si="1"/>
        <v>0.95</v>
      </c>
    </row>
    <row r="23" spans="1:10" ht="15" customHeight="1" x14ac:dyDescent="0.35">
      <c r="A23" s="28" t="s">
        <v>121</v>
      </c>
      <c r="B23" s="28" t="s">
        <v>127</v>
      </c>
      <c r="C23" s="28" t="s">
        <v>128</v>
      </c>
      <c r="D23" s="31">
        <v>0.05</v>
      </c>
      <c r="E23" s="58">
        <f>'Ticket Sales Log'!L77+'Ticket Sales Log'!L78+'Ticket Sales Log'!L92+'Ticket Sales Log'!L93</f>
        <v>315</v>
      </c>
      <c r="F23" s="32">
        <f t="shared" si="0"/>
        <v>60.161904761904765</v>
      </c>
      <c r="G23" s="32">
        <f>'Ticket Sales Log'!M77+'Ticket Sales Log'!M78+'Ticket Sales Log'!M92+'Ticket Sales Log'!M93</f>
        <v>18951</v>
      </c>
      <c r="H23" s="32">
        <f>'Ticket Sales Log'!O77+'Ticket Sales Log'!O78+'Ticket Sales Log'!O92+'Ticket Sales Log'!O93</f>
        <v>947.55</v>
      </c>
      <c r="I23" s="32">
        <f>'Ticket Sales Log'!P77+'Ticket Sales Log'!P78+'Ticket Sales Log'!P92+'Ticket Sales Log'!P93</f>
        <v>18003.45</v>
      </c>
      <c r="J23" s="59">
        <f t="shared" si="1"/>
        <v>0.95000000000000007</v>
      </c>
    </row>
    <row r="24" spans="1:10" ht="15" customHeight="1" x14ac:dyDescent="0.35">
      <c r="A24" s="34" t="s">
        <v>156</v>
      </c>
      <c r="B24" s="35"/>
      <c r="C24" s="35"/>
      <c r="D24" s="35"/>
      <c r="E24" s="36">
        <f>SUM(E7:E23)</f>
        <v>18355</v>
      </c>
      <c r="F24" s="37">
        <f t="shared" si="0"/>
        <v>63.004690819940073</v>
      </c>
      <c r="G24" s="37">
        <f>SUM(G7:G23)</f>
        <v>1156451.1000000001</v>
      </c>
      <c r="H24" s="37">
        <f>SUM(H7:H23)</f>
        <v>90127.721999999994</v>
      </c>
      <c r="I24" s="37">
        <f>SUM(I7:I23)</f>
        <v>1066323.378</v>
      </c>
      <c r="J24" s="60">
        <f t="shared" si="1"/>
        <v>0.92206525463982003</v>
      </c>
    </row>
    <row r="25" spans="1:10" ht="15" customHeight="1" x14ac:dyDescent="0.35">
      <c r="A25" s="38" t="s">
        <v>157</v>
      </c>
      <c r="B25" s="39"/>
      <c r="C25" s="39"/>
      <c r="D25" s="39"/>
      <c r="E25" s="40">
        <f>E7+E8+E9+E10+E11+E12</f>
        <v>8775</v>
      </c>
      <c r="F25" s="41">
        <f>IF((E7+E8+E9+E10+E11+E12)&gt;0,(G7+G8+G9+G10+G11+G12)/(E7+E8+E9+E10+E11+E12),0)</f>
        <v>66.660763532763539</v>
      </c>
      <c r="G25" s="41">
        <f>G7+G8+G9+G10+G11+G12</f>
        <v>584948.20000000007</v>
      </c>
      <c r="H25" s="41">
        <f>H7+H8+H9+H10+H11+H12</f>
        <v>55283.163999999997</v>
      </c>
      <c r="I25" s="41">
        <f>I7+I8+I9+I10+I11+I12</f>
        <v>529665.03599999996</v>
      </c>
      <c r="J25" s="61">
        <f>IF((G7+G8+G9+G10+G11+G12)&gt;0,(I7+I8+I9+I10+I11+I12)/(G7+G8+G9+G10+G11+G12),0)</f>
        <v>0.90549049642344381</v>
      </c>
    </row>
    <row r="26" spans="1:10" ht="15" customHeight="1" x14ac:dyDescent="0.35">
      <c r="A26" s="42" t="s">
        <v>158</v>
      </c>
      <c r="B26" s="43"/>
      <c r="C26" s="43"/>
      <c r="D26" s="43"/>
      <c r="E26" s="44">
        <f>E13+E14+E15+E16+E17+E18</f>
        <v>6955</v>
      </c>
      <c r="F26" s="45">
        <f>IF((E13+E14+E15+E16+E17+E18)&gt;0,(G13+G14+G15+G16+G17+G18)/(E13+E14+E15+E16+E17+E18),0)</f>
        <v>59.31941768511863</v>
      </c>
      <c r="G26" s="45">
        <f>G13+G14+G15+G16+G17+G18</f>
        <v>412566.55000000005</v>
      </c>
      <c r="H26" s="45">
        <f>H13+H14+H15+H16+H17+H18</f>
        <v>27906.776500000004</v>
      </c>
      <c r="I26" s="45">
        <f>I13+I14+I15+I16+I17+I18</f>
        <v>384659.77350000001</v>
      </c>
      <c r="J26" s="62">
        <f>IF((G13+G14+G15+G16+G17+G18)&gt;0,(I13+I14+I15+I16+I17+I18)/(G13+G14+G15+G16+G17+G18),0)</f>
        <v>0.93235812137459995</v>
      </c>
    </row>
    <row r="27" spans="1:10" ht="15" customHeight="1" x14ac:dyDescent="0.35">
      <c r="A27" s="46" t="s">
        <v>159</v>
      </c>
      <c r="B27" s="47"/>
      <c r="C27" s="47"/>
      <c r="D27" s="47"/>
      <c r="E27" s="48">
        <f>E19+E20+E21+E22+E23</f>
        <v>2625</v>
      </c>
      <c r="F27" s="49">
        <f>IF((E19+E20+E21+E22+E23)&gt;0,(G19+G20+G21+G22+G23)/(E19+E20+E21+E22+E23),0)</f>
        <v>60.547180952380955</v>
      </c>
      <c r="G27" s="49">
        <f>G19+G20+G21+G22+G23</f>
        <v>158936.35</v>
      </c>
      <c r="H27" s="49">
        <f>H19+H20+H21+H22+H23</f>
        <v>6937.781500000001</v>
      </c>
      <c r="I27" s="49">
        <f>I19+I20+I21+I22+I23</f>
        <v>151998.56850000002</v>
      </c>
      <c r="J27" s="63">
        <f>IF((G19+G20+G21+G22+G23)&gt;0,(I19+I20+I21+I22+I23)/(G19+G20+G21+G22+G23),0)</f>
        <v>0.95634867983315341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showGridLines="0" zoomScaleNormal="100" workbookViewId="0">
      <selection activeCell="A14" sqref="A14"/>
    </sheetView>
  </sheetViews>
  <sheetFormatPr defaultColWidth="8.6328125" defaultRowHeight="14.5" x14ac:dyDescent="0.35"/>
  <cols>
    <col min="1" max="1" width="38" customWidth="1"/>
    <col min="2" max="2" width="18" customWidth="1"/>
    <col min="3" max="3" width="14" customWidth="1"/>
    <col min="4" max="4" width="34" customWidth="1"/>
    <col min="5" max="7" width="12" customWidth="1"/>
  </cols>
  <sheetData>
    <row r="1" spans="1:7" ht="15" customHeight="1" x14ac:dyDescent="0.35">
      <c r="A1" s="1" t="s">
        <v>0</v>
      </c>
      <c r="B1" s="2" t="s">
        <v>1</v>
      </c>
    </row>
    <row r="2" spans="1:7" ht="15" customHeight="1" x14ac:dyDescent="0.35">
      <c r="A2" s="1" t="s">
        <v>2</v>
      </c>
      <c r="B2" s="2" t="s">
        <v>3</v>
      </c>
    </row>
    <row r="3" spans="1:7" ht="15" customHeight="1" x14ac:dyDescent="0.35">
      <c r="A3" s="1" t="s">
        <v>4</v>
      </c>
      <c r="B3" s="2" t="s">
        <v>5</v>
      </c>
    </row>
    <row r="4" spans="1:7" ht="15" customHeight="1" x14ac:dyDescent="0.35">
      <c r="A4" s="1" t="s">
        <v>149</v>
      </c>
      <c r="B4" s="2" t="s">
        <v>160</v>
      </c>
    </row>
    <row r="5" spans="1:7" ht="9.75" customHeight="1" x14ac:dyDescent="0.35"/>
    <row r="6" spans="1:7" ht="21.75" customHeight="1" x14ac:dyDescent="0.35">
      <c r="A6" s="64" t="s">
        <v>161</v>
      </c>
      <c r="B6" s="65"/>
      <c r="C6" s="65"/>
      <c r="D6" s="65"/>
      <c r="E6" s="65"/>
      <c r="F6" s="65"/>
      <c r="G6" s="65"/>
    </row>
    <row r="7" spans="1:7" ht="36" customHeight="1" x14ac:dyDescent="0.35">
      <c r="A7" s="66" t="s">
        <v>15</v>
      </c>
      <c r="B7" s="66" t="s">
        <v>162</v>
      </c>
      <c r="C7" s="66" t="s">
        <v>163</v>
      </c>
      <c r="D7" s="66" t="s">
        <v>164</v>
      </c>
      <c r="E7" s="66" t="s">
        <v>165</v>
      </c>
      <c r="F7" s="66" t="s">
        <v>166</v>
      </c>
      <c r="G7" s="66" t="s">
        <v>167</v>
      </c>
    </row>
    <row r="8" spans="1:7" ht="15" customHeight="1" x14ac:dyDescent="0.35">
      <c r="A8" s="4" t="s">
        <v>31</v>
      </c>
      <c r="B8" s="50">
        <f>'Revenue by Channel &amp; Tier'!E7+'Revenue by Channel &amp; Tier'!E8+'Revenue by Channel &amp; Tier'!E9+'Revenue by Channel &amp; Tier'!E10+'Revenue by Channel &amp; Tier'!E11+'Revenue by Channel &amp; Tier'!E12</f>
        <v>8775</v>
      </c>
      <c r="C8" s="8">
        <f>'Revenue by Channel &amp; Tier'!G7+'Revenue by Channel &amp; Tier'!G8+'Revenue by Channel &amp; Tier'!G9+'Revenue by Channel &amp; Tier'!G10+'Revenue by Channel &amp; Tier'!G11+'Revenue by Channel &amp; Tier'!G12</f>
        <v>584948.20000000007</v>
      </c>
      <c r="D8" s="51">
        <f>IF(C8&gt;0,E8/C8,0)</f>
        <v>9.4509503576555992E-2</v>
      </c>
      <c r="E8" s="8">
        <f>'Revenue by Channel &amp; Tier'!H7+'Revenue by Channel &amp; Tier'!H8+'Revenue by Channel &amp; Tier'!H9+'Revenue by Channel &amp; Tier'!H10+'Revenue by Channel &amp; Tier'!H11+'Revenue by Channel &amp; Tier'!H12</f>
        <v>55283.163999999997</v>
      </c>
      <c r="F8" s="8">
        <f>'Revenue by Channel &amp; Tier'!I7+'Revenue by Channel &amp; Tier'!I8+'Revenue by Channel &amp; Tier'!I9+'Revenue by Channel &amp; Tier'!I10+'Revenue by Channel &amp; Tier'!I11+'Revenue by Channel &amp; Tier'!I12</f>
        <v>529665.03599999996</v>
      </c>
      <c r="G8" s="4" t="s">
        <v>168</v>
      </c>
    </row>
    <row r="9" spans="1:7" ht="15" customHeight="1" x14ac:dyDescent="0.35">
      <c r="A9" s="10" t="s">
        <v>93</v>
      </c>
      <c r="B9" s="52">
        <f>'Revenue by Channel &amp; Tier'!E13+'Revenue by Channel &amp; Tier'!E14+'Revenue by Channel &amp; Tier'!E15+'Revenue by Channel &amp; Tier'!E16+'Revenue by Channel &amp; Tier'!E17+'Revenue by Channel &amp; Tier'!E18</f>
        <v>6955</v>
      </c>
      <c r="C9" s="14">
        <f>'Revenue by Channel &amp; Tier'!G13+'Revenue by Channel &amp; Tier'!G14+'Revenue by Channel &amp; Tier'!G15+'Revenue by Channel &amp; Tier'!G16+'Revenue by Channel &amp; Tier'!G17+'Revenue by Channel &amp; Tier'!G18</f>
        <v>412566.55000000005</v>
      </c>
      <c r="D9" s="53">
        <f>IF(C9&gt;0,E9/C9,0)</f>
        <v>6.7641878625399957E-2</v>
      </c>
      <c r="E9" s="14">
        <f>'Revenue by Channel &amp; Tier'!H13+'Revenue by Channel &amp; Tier'!H14+'Revenue by Channel &amp; Tier'!H15+'Revenue by Channel &amp; Tier'!H16+'Revenue by Channel &amp; Tier'!H17+'Revenue by Channel &amp; Tier'!H18</f>
        <v>27906.776500000004</v>
      </c>
      <c r="F9" s="14">
        <f>'Revenue by Channel &amp; Tier'!I13+'Revenue by Channel &amp; Tier'!I14+'Revenue by Channel &amp; Tier'!I15+'Revenue by Channel &amp; Tier'!I16+'Revenue by Channel &amp; Tier'!I17+'Revenue by Channel &amp; Tier'!I18</f>
        <v>384659.77350000001</v>
      </c>
      <c r="G9" s="10" t="s">
        <v>169</v>
      </c>
    </row>
    <row r="10" spans="1:7" ht="15" customHeight="1" x14ac:dyDescent="0.35">
      <c r="A10" s="16" t="s">
        <v>121</v>
      </c>
      <c r="B10" s="54">
        <f>'Revenue by Channel &amp; Tier'!E19+'Revenue by Channel &amp; Tier'!E20+'Revenue by Channel &amp; Tier'!E21+'Revenue by Channel &amp; Tier'!E22+'Revenue by Channel &amp; Tier'!E23</f>
        <v>2625</v>
      </c>
      <c r="C10" s="20">
        <f>'Revenue by Channel &amp; Tier'!G19+'Revenue by Channel &amp; Tier'!G20+'Revenue by Channel &amp; Tier'!G21+'Revenue by Channel &amp; Tier'!G22+'Revenue by Channel &amp; Tier'!G23</f>
        <v>158936.35</v>
      </c>
      <c r="D10" s="55">
        <f>IF(C10&gt;0,E10/C10,0)</f>
        <v>4.3651320166846669E-2</v>
      </c>
      <c r="E10" s="20">
        <f>'Revenue by Channel &amp; Tier'!H19+'Revenue by Channel &amp; Tier'!H20+'Revenue by Channel &amp; Tier'!H21+'Revenue by Channel &amp; Tier'!H22+'Revenue by Channel &amp; Tier'!H23</f>
        <v>6937.781500000001</v>
      </c>
      <c r="F10" s="20">
        <f>'Revenue by Channel &amp; Tier'!I19+'Revenue by Channel &amp; Tier'!I20+'Revenue by Channel &amp; Tier'!I21+'Revenue by Channel &amp; Tier'!I22+'Revenue by Channel &amp; Tier'!I23</f>
        <v>151998.56850000002</v>
      </c>
      <c r="G10" s="16" t="s">
        <v>170</v>
      </c>
    </row>
    <row r="11" spans="1:7" ht="15" customHeight="1" x14ac:dyDescent="0.35">
      <c r="A11" s="67" t="s">
        <v>145</v>
      </c>
      <c r="B11" s="36">
        <f>SUM(B8:B10)</f>
        <v>18355</v>
      </c>
      <c r="C11" s="37">
        <f>SUM(C8:C10)</f>
        <v>1156451.1000000001</v>
      </c>
      <c r="D11" s="60">
        <f>IF(C11&gt;0,E11/C11,0)</f>
        <v>7.7934745360179941E-2</v>
      </c>
      <c r="E11" s="37">
        <f>SUM(E8:E10)</f>
        <v>90127.721999999994</v>
      </c>
      <c r="F11" s="37">
        <f>SUM(F8:F10)</f>
        <v>1066323.378</v>
      </c>
      <c r="G11" s="35"/>
    </row>
    <row r="12" spans="1:7" ht="9.75" customHeight="1" x14ac:dyDescent="0.35"/>
    <row r="13" spans="1:7" ht="21.75" customHeight="1" x14ac:dyDescent="0.35">
      <c r="A13" s="64" t="s">
        <v>171</v>
      </c>
      <c r="B13" s="65"/>
      <c r="C13" s="65"/>
      <c r="D13" s="65"/>
      <c r="E13" s="65"/>
      <c r="F13" s="65"/>
      <c r="G13" s="65"/>
    </row>
    <row r="14" spans="1:7" ht="36" customHeight="1" x14ac:dyDescent="0.35">
      <c r="A14" s="66" t="s">
        <v>172</v>
      </c>
      <c r="B14" s="66" t="s">
        <v>173</v>
      </c>
      <c r="C14" s="66" t="s">
        <v>174</v>
      </c>
      <c r="D14" s="66" t="s">
        <v>175</v>
      </c>
      <c r="E14" s="66" t="s">
        <v>176</v>
      </c>
      <c r="F14" s="66" t="s">
        <v>167</v>
      </c>
      <c r="G14" s="66" t="s">
        <v>177</v>
      </c>
    </row>
    <row r="15" spans="1:7" ht="15" customHeight="1" x14ac:dyDescent="0.35">
      <c r="A15" s="4" t="s">
        <v>178</v>
      </c>
      <c r="B15" s="7">
        <v>0.68</v>
      </c>
      <c r="C15" s="8">
        <f>'Revenue by Channel &amp; Tier'!I24</f>
        <v>1066323.378</v>
      </c>
      <c r="D15" s="8">
        <f>C15*B15</f>
        <v>725099.89704000007</v>
      </c>
      <c r="E15" s="8">
        <f>D15</f>
        <v>725099.89704000007</v>
      </c>
      <c r="F15" s="4" t="s">
        <v>179</v>
      </c>
      <c r="G15" s="4" t="s">
        <v>180</v>
      </c>
    </row>
    <row r="16" spans="1:7" ht="15" customHeight="1" x14ac:dyDescent="0.35">
      <c r="A16" s="68" t="s">
        <v>181</v>
      </c>
      <c r="B16" s="69">
        <v>0.18</v>
      </c>
      <c r="C16" s="70">
        <f>'Revenue by Channel &amp; Tier'!I24</f>
        <v>1066323.378</v>
      </c>
      <c r="D16" s="70">
        <f>C16*B16</f>
        <v>191938.20804</v>
      </c>
      <c r="E16" s="70">
        <f>E15-D16</f>
        <v>533161.68900000001</v>
      </c>
      <c r="F16" s="68" t="s">
        <v>182</v>
      </c>
      <c r="G16" s="68" t="s">
        <v>183</v>
      </c>
    </row>
    <row r="17" spans="1:7" ht="15" customHeight="1" x14ac:dyDescent="0.35">
      <c r="A17" s="16" t="s">
        <v>184</v>
      </c>
      <c r="B17" s="19">
        <v>7.0000000000000007E-2</v>
      </c>
      <c r="C17" s="20">
        <f>'Revenue by Channel &amp; Tier'!I24</f>
        <v>1066323.378</v>
      </c>
      <c r="D17" s="20">
        <f>C17*B17</f>
        <v>74642.636460000009</v>
      </c>
      <c r="E17" s="20">
        <f>E16-D17</f>
        <v>458519.05254</v>
      </c>
      <c r="F17" s="16" t="s">
        <v>185</v>
      </c>
      <c r="G17" s="16" t="s">
        <v>186</v>
      </c>
    </row>
    <row r="18" spans="1:7" ht="15" customHeight="1" x14ac:dyDescent="0.35">
      <c r="A18" s="22" t="s">
        <v>187</v>
      </c>
      <c r="B18" s="25">
        <v>7.0000000000000007E-2</v>
      </c>
      <c r="C18" s="26">
        <f>'Revenue by Channel &amp; Tier'!I24</f>
        <v>1066323.378</v>
      </c>
      <c r="D18" s="26">
        <f>C18*B18</f>
        <v>74642.636460000009</v>
      </c>
      <c r="E18" s="26">
        <f>E17-D18</f>
        <v>383876.41608</v>
      </c>
      <c r="F18" s="22" t="s">
        <v>188</v>
      </c>
      <c r="G18" s="22" t="s">
        <v>189</v>
      </c>
    </row>
    <row r="19" spans="1:7" ht="15" customHeight="1" x14ac:dyDescent="0.35">
      <c r="A19" s="67" t="s">
        <v>190</v>
      </c>
      <c r="B19" s="60">
        <f>SUM(B15:B18)</f>
        <v>1.0000000000000002</v>
      </c>
      <c r="C19" s="35"/>
      <c r="D19" s="37">
        <f>SUM(D15:D18)</f>
        <v>1066323.378</v>
      </c>
      <c r="E19" s="35"/>
      <c r="F19" s="35"/>
      <c r="G19" s="35"/>
    </row>
    <row r="20" spans="1:7" ht="9.75" customHeight="1" x14ac:dyDescent="0.35"/>
    <row r="21" spans="1:7" ht="21.75" customHeight="1" x14ac:dyDescent="0.35">
      <c r="A21" s="71" t="s">
        <v>191</v>
      </c>
      <c r="B21" s="72"/>
      <c r="C21" s="72"/>
      <c r="D21" s="72"/>
      <c r="E21" s="72"/>
      <c r="F21" s="72"/>
      <c r="G21" s="72"/>
    </row>
    <row r="22" spans="1:7" ht="36" customHeight="1" x14ac:dyDescent="0.35">
      <c r="A22" s="73" t="s">
        <v>192</v>
      </c>
      <c r="B22" s="73" t="s">
        <v>193</v>
      </c>
      <c r="C22" s="73" t="s">
        <v>194</v>
      </c>
      <c r="D22" s="73" t="s">
        <v>177</v>
      </c>
      <c r="E22" s="73"/>
      <c r="F22" s="73"/>
      <c r="G22" s="73"/>
    </row>
    <row r="23" spans="1:7" ht="15" customHeight="1" x14ac:dyDescent="0.35">
      <c r="A23" s="74" t="s">
        <v>195</v>
      </c>
      <c r="B23" s="75">
        <f>'Revenue by Channel &amp; Tier'!G24</f>
        <v>1156451.1000000001</v>
      </c>
      <c r="C23" s="76">
        <f>B23/B23</f>
        <v>1</v>
      </c>
      <c r="D23" s="74" t="s">
        <v>196</v>
      </c>
      <c r="E23" s="74"/>
      <c r="F23" s="74"/>
      <c r="G23" s="74"/>
    </row>
    <row r="24" spans="1:7" ht="15" customHeight="1" x14ac:dyDescent="0.35">
      <c r="A24" s="10" t="s">
        <v>197</v>
      </c>
      <c r="B24" s="14">
        <f>-'Revenue by Channel &amp; Tier'!H25</f>
        <v>-55283.163999999997</v>
      </c>
      <c r="C24" s="53">
        <f>B24/B23</f>
        <v>-4.7804151857350471E-2</v>
      </c>
      <c r="D24" s="10" t="s">
        <v>198</v>
      </c>
      <c r="E24" s="10"/>
      <c r="F24" s="10"/>
      <c r="G24" s="10"/>
    </row>
    <row r="25" spans="1:7" ht="15" customHeight="1" x14ac:dyDescent="0.35">
      <c r="A25" s="10" t="s">
        <v>199</v>
      </c>
      <c r="B25" s="14">
        <f>-'Revenue by Channel &amp; Tier'!H26</f>
        <v>-27906.776500000004</v>
      </c>
      <c r="C25" s="53">
        <f>B25/B23</f>
        <v>-2.4131393450185661E-2</v>
      </c>
      <c r="D25" s="10" t="s">
        <v>200</v>
      </c>
      <c r="E25" s="10"/>
      <c r="F25" s="10"/>
      <c r="G25" s="10"/>
    </row>
    <row r="26" spans="1:7" ht="15" customHeight="1" x14ac:dyDescent="0.35">
      <c r="A26" s="10" t="s">
        <v>201</v>
      </c>
      <c r="B26" s="14">
        <f>-'Revenue by Channel &amp; Tier'!H27</f>
        <v>-6937.781500000001</v>
      </c>
      <c r="C26" s="53">
        <f>B26/B23</f>
        <v>-5.9992000526438169E-3</v>
      </c>
      <c r="D26" s="10" t="s">
        <v>202</v>
      </c>
      <c r="E26" s="10"/>
      <c r="F26" s="10"/>
      <c r="G26" s="10"/>
    </row>
    <row r="27" spans="1:7" ht="15" customHeight="1" x14ac:dyDescent="0.35">
      <c r="A27" s="77" t="s">
        <v>203</v>
      </c>
      <c r="B27" s="78">
        <f>B23+B24+B25+B26</f>
        <v>1066323.378</v>
      </c>
      <c r="C27" s="79">
        <f>B27/B23</f>
        <v>0.92206525463982003</v>
      </c>
      <c r="D27" s="77" t="s">
        <v>204</v>
      </c>
      <c r="E27" s="77"/>
      <c r="F27" s="77"/>
      <c r="G27" s="77"/>
    </row>
    <row r="28" spans="1:7" ht="15" customHeight="1" x14ac:dyDescent="0.35">
      <c r="A28" s="68" t="s">
        <v>205</v>
      </c>
      <c r="B28" s="70">
        <f>-D16</f>
        <v>-191938.20804</v>
      </c>
      <c r="C28" s="80">
        <f>B28/B23</f>
        <v>-0.16597174583516761</v>
      </c>
      <c r="D28" s="68" t="s">
        <v>206</v>
      </c>
      <c r="E28" s="68"/>
      <c r="F28" s="68"/>
      <c r="G28" s="68"/>
    </row>
    <row r="29" spans="1:7" ht="15" customHeight="1" x14ac:dyDescent="0.35">
      <c r="A29" s="16" t="s">
        <v>207</v>
      </c>
      <c r="B29" s="20">
        <f>-D17</f>
        <v>-74642.636460000009</v>
      </c>
      <c r="C29" s="55">
        <f>B29/B23</f>
        <v>-6.4544567824787402E-2</v>
      </c>
      <c r="D29" s="16" t="s">
        <v>208</v>
      </c>
      <c r="E29" s="16"/>
      <c r="F29" s="16"/>
      <c r="G29" s="16"/>
    </row>
    <row r="30" spans="1:7" ht="15" customHeight="1" x14ac:dyDescent="0.35">
      <c r="A30" s="22" t="s">
        <v>209</v>
      </c>
      <c r="B30" s="26">
        <f>-D18</f>
        <v>-74642.636460000009</v>
      </c>
      <c r="C30" s="57">
        <f>B30/B23</f>
        <v>-6.4544567824787402E-2</v>
      </c>
      <c r="D30" s="22" t="s">
        <v>210</v>
      </c>
      <c r="E30" s="22"/>
      <c r="F30" s="22"/>
      <c r="G30" s="22"/>
    </row>
    <row r="31" spans="1:7" ht="15" customHeight="1" x14ac:dyDescent="0.35">
      <c r="A31" s="67" t="s">
        <v>211</v>
      </c>
      <c r="B31" s="37">
        <f>B27+B28+B29+B30</f>
        <v>725099.89704000019</v>
      </c>
      <c r="C31" s="60">
        <f>B31/B23</f>
        <v>0.62700437315507773</v>
      </c>
      <c r="D31" s="67" t="s">
        <v>212</v>
      </c>
      <c r="E31" s="67"/>
      <c r="F31" s="67"/>
      <c r="G31" s="6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showGridLines="0" zoomScaleNormal="100" workbookViewId="0">
      <selection activeCell="C9" sqref="C9"/>
    </sheetView>
  </sheetViews>
  <sheetFormatPr defaultColWidth="8.6328125" defaultRowHeight="14.5" x14ac:dyDescent="0.35"/>
  <cols>
    <col min="1" max="1" width="28" customWidth="1"/>
    <col min="2" max="2" width="18" customWidth="1"/>
    <col min="3" max="3" width="22" customWidth="1"/>
    <col min="4" max="4" width="26" customWidth="1"/>
    <col min="5" max="5" width="24" customWidth="1"/>
    <col min="6" max="6" width="22" customWidth="1"/>
  </cols>
  <sheetData>
    <row r="1" spans="1:6" ht="15" customHeight="1" x14ac:dyDescent="0.35">
      <c r="A1" s="1" t="s">
        <v>0</v>
      </c>
      <c r="B1" s="2" t="s">
        <v>1</v>
      </c>
    </row>
    <row r="2" spans="1:6" ht="15" customHeight="1" x14ac:dyDescent="0.35">
      <c r="A2" s="1" t="s">
        <v>2</v>
      </c>
      <c r="B2" s="2" t="s">
        <v>3</v>
      </c>
    </row>
    <row r="3" spans="1:6" ht="15" customHeight="1" x14ac:dyDescent="0.35">
      <c r="A3" s="1" t="s">
        <v>4</v>
      </c>
      <c r="B3" s="2" t="s">
        <v>5</v>
      </c>
    </row>
    <row r="4" spans="1:6" ht="15" customHeight="1" x14ac:dyDescent="0.35">
      <c r="A4" s="1" t="s">
        <v>6</v>
      </c>
      <c r="B4" s="2" t="s">
        <v>7</v>
      </c>
    </row>
    <row r="5" spans="1:6" ht="15" customHeight="1" x14ac:dyDescent="0.35">
      <c r="A5" s="1" t="s">
        <v>10</v>
      </c>
      <c r="B5" s="2" t="s">
        <v>11</v>
      </c>
    </row>
    <row r="6" spans="1:6" ht="9.75" customHeight="1" x14ac:dyDescent="0.35"/>
    <row r="7" spans="1:6" ht="21.75" customHeight="1" x14ac:dyDescent="0.35">
      <c r="A7" s="64" t="s">
        <v>213</v>
      </c>
      <c r="B7" s="65"/>
      <c r="C7" s="65"/>
      <c r="D7" s="65"/>
      <c r="E7" s="65"/>
    </row>
    <row r="8" spans="1:6" ht="36" customHeight="1" x14ac:dyDescent="0.35">
      <c r="A8" s="66" t="s">
        <v>214</v>
      </c>
      <c r="B8" s="66" t="s">
        <v>20</v>
      </c>
      <c r="C8" s="66" t="s">
        <v>215</v>
      </c>
      <c r="D8" s="66" t="s">
        <v>216</v>
      </c>
      <c r="E8" s="66" t="s">
        <v>177</v>
      </c>
    </row>
    <row r="9" spans="1:6" ht="15" customHeight="1" x14ac:dyDescent="0.35">
      <c r="A9" s="74" t="s">
        <v>35</v>
      </c>
      <c r="B9" s="74" t="s">
        <v>36</v>
      </c>
      <c r="C9" s="81">
        <v>350</v>
      </c>
      <c r="D9" s="75">
        <f t="shared" ref="D9:D14" si="0">C9*(1-0.12)</f>
        <v>308</v>
      </c>
      <c r="E9" s="74" t="s">
        <v>217</v>
      </c>
    </row>
    <row r="10" spans="1:6" ht="15" customHeight="1" x14ac:dyDescent="0.35">
      <c r="A10" s="10" t="s">
        <v>38</v>
      </c>
      <c r="B10" s="10" t="s">
        <v>39</v>
      </c>
      <c r="C10" s="11">
        <v>185</v>
      </c>
      <c r="D10" s="14">
        <f t="shared" si="0"/>
        <v>162.80000000000001</v>
      </c>
      <c r="E10" s="10" t="s">
        <v>218</v>
      </c>
    </row>
    <row r="11" spans="1:6" ht="15" customHeight="1" x14ac:dyDescent="0.35">
      <c r="A11" s="74" t="s">
        <v>41</v>
      </c>
      <c r="B11" s="74" t="s">
        <v>42</v>
      </c>
      <c r="C11" s="81">
        <v>95</v>
      </c>
      <c r="D11" s="75">
        <f t="shared" si="0"/>
        <v>83.6</v>
      </c>
      <c r="E11" s="74"/>
    </row>
    <row r="12" spans="1:6" ht="15" customHeight="1" x14ac:dyDescent="0.35">
      <c r="A12" s="10" t="s">
        <v>48</v>
      </c>
      <c r="B12" s="10" t="s">
        <v>49</v>
      </c>
      <c r="C12" s="11">
        <v>55</v>
      </c>
      <c r="D12" s="14">
        <f t="shared" si="0"/>
        <v>48.4</v>
      </c>
      <c r="E12" s="10"/>
    </row>
    <row r="13" spans="1:6" ht="15" customHeight="1" x14ac:dyDescent="0.35">
      <c r="A13" s="74" t="s">
        <v>69</v>
      </c>
      <c r="B13" s="74" t="s">
        <v>70</v>
      </c>
      <c r="C13" s="81">
        <v>35</v>
      </c>
      <c r="D13" s="75">
        <f t="shared" si="0"/>
        <v>30.8</v>
      </c>
      <c r="E13" s="74" t="s">
        <v>219</v>
      </c>
    </row>
    <row r="14" spans="1:6" ht="15" customHeight="1" x14ac:dyDescent="0.35">
      <c r="A14" s="10" t="s">
        <v>81</v>
      </c>
      <c r="B14" s="10" t="s">
        <v>220</v>
      </c>
      <c r="C14" s="11">
        <v>25</v>
      </c>
      <c r="D14" s="14">
        <f t="shared" si="0"/>
        <v>22</v>
      </c>
      <c r="E14" s="10" t="s">
        <v>221</v>
      </c>
    </row>
    <row r="15" spans="1:6" ht="9.75" customHeight="1" x14ac:dyDescent="0.35"/>
    <row r="16" spans="1:6" ht="21.75" customHeight="1" x14ac:dyDescent="0.35">
      <c r="A16" s="64" t="s">
        <v>222</v>
      </c>
      <c r="B16" s="65"/>
      <c r="C16" s="65"/>
      <c r="D16" s="65"/>
      <c r="E16" s="65"/>
      <c r="F16" s="65"/>
    </row>
    <row r="17" spans="1:6" ht="36" customHeight="1" x14ac:dyDescent="0.35">
      <c r="A17" s="66" t="s">
        <v>17</v>
      </c>
      <c r="B17" s="66" t="s">
        <v>223</v>
      </c>
      <c r="C17" s="66" t="s">
        <v>224</v>
      </c>
      <c r="D17" s="66" t="s">
        <v>225</v>
      </c>
      <c r="E17" s="66" t="s">
        <v>226</v>
      </c>
      <c r="F17" s="66" t="s">
        <v>227</v>
      </c>
    </row>
    <row r="18" spans="1:6" ht="15" customHeight="1" x14ac:dyDescent="0.35">
      <c r="A18" s="4" t="s">
        <v>33</v>
      </c>
      <c r="B18" s="4" t="s">
        <v>228</v>
      </c>
      <c r="C18" s="6">
        <v>0.8</v>
      </c>
      <c r="D18" s="4" t="s">
        <v>229</v>
      </c>
      <c r="E18" s="4" t="s">
        <v>230</v>
      </c>
      <c r="F18" s="82"/>
    </row>
    <row r="19" spans="1:6" ht="15" customHeight="1" x14ac:dyDescent="0.35">
      <c r="A19" s="4" t="s">
        <v>44</v>
      </c>
      <c r="B19" s="4" t="s">
        <v>231</v>
      </c>
      <c r="C19" s="6">
        <v>0.9</v>
      </c>
      <c r="D19" s="4" t="s">
        <v>232</v>
      </c>
      <c r="E19" s="4" t="s">
        <v>230</v>
      </c>
      <c r="F19" s="82"/>
    </row>
    <row r="20" spans="1:6" ht="15" customHeight="1" x14ac:dyDescent="0.35">
      <c r="A20" s="10" t="s">
        <v>51</v>
      </c>
      <c r="B20" s="10" t="s">
        <v>233</v>
      </c>
      <c r="C20" s="12">
        <v>1</v>
      </c>
      <c r="D20" s="10" t="s">
        <v>234</v>
      </c>
      <c r="E20" s="10" t="s">
        <v>235</v>
      </c>
      <c r="F20" s="83"/>
    </row>
    <row r="21" spans="1:6" ht="15" customHeight="1" x14ac:dyDescent="0.35">
      <c r="A21" s="16" t="s">
        <v>56</v>
      </c>
      <c r="B21" s="16" t="s">
        <v>236</v>
      </c>
      <c r="C21" s="18">
        <v>1.1000000000000001</v>
      </c>
      <c r="D21" s="16" t="s">
        <v>237</v>
      </c>
      <c r="E21" s="16" t="s">
        <v>235</v>
      </c>
      <c r="F21" s="84"/>
    </row>
    <row r="22" spans="1:6" ht="15" customHeight="1" x14ac:dyDescent="0.35">
      <c r="A22" s="22" t="s">
        <v>60</v>
      </c>
      <c r="B22" s="22" t="s">
        <v>238</v>
      </c>
      <c r="C22" s="24">
        <v>1.2</v>
      </c>
      <c r="D22" s="22" t="s">
        <v>239</v>
      </c>
      <c r="E22" s="22" t="s">
        <v>235</v>
      </c>
      <c r="F22" s="85"/>
    </row>
    <row r="23" spans="1:6" ht="15" customHeight="1" x14ac:dyDescent="0.35">
      <c r="A23" s="28" t="s">
        <v>63</v>
      </c>
      <c r="B23" s="28" t="s">
        <v>64</v>
      </c>
      <c r="C23" s="30">
        <v>1.35</v>
      </c>
      <c r="D23" s="28" t="s">
        <v>240</v>
      </c>
      <c r="E23" s="28" t="s">
        <v>235</v>
      </c>
      <c r="F23" s="86"/>
    </row>
    <row r="24" spans="1:6" ht="15" customHeight="1" x14ac:dyDescent="0.35">
      <c r="A24" s="28" t="s">
        <v>127</v>
      </c>
      <c r="B24" s="28" t="s">
        <v>128</v>
      </c>
      <c r="C24" s="30">
        <v>1.5</v>
      </c>
      <c r="D24" s="28" t="s">
        <v>241</v>
      </c>
      <c r="E24" s="28" t="s">
        <v>242</v>
      </c>
      <c r="F24" s="86"/>
    </row>
    <row r="25" spans="1:6" ht="9.75" customHeight="1" x14ac:dyDescent="0.35"/>
    <row r="26" spans="1:6" ht="21.75" customHeight="1" x14ac:dyDescent="0.35">
      <c r="A26" s="64" t="s">
        <v>243</v>
      </c>
      <c r="B26" s="65"/>
      <c r="C26" s="65"/>
      <c r="D26" s="65"/>
      <c r="E26" s="65"/>
      <c r="F26" s="65"/>
    </row>
    <row r="27" spans="1:6" ht="36" customHeight="1" x14ac:dyDescent="0.35">
      <c r="A27" s="66" t="s">
        <v>15</v>
      </c>
      <c r="B27" s="66" t="s">
        <v>33</v>
      </c>
      <c r="C27" s="66" t="s">
        <v>44</v>
      </c>
      <c r="D27" s="66" t="s">
        <v>51</v>
      </c>
      <c r="E27" s="66" t="s">
        <v>56</v>
      </c>
      <c r="F27" s="66" t="s">
        <v>244</v>
      </c>
    </row>
    <row r="28" spans="1:6" ht="15" customHeight="1" x14ac:dyDescent="0.35">
      <c r="A28" s="4" t="s">
        <v>245</v>
      </c>
      <c r="B28" s="7">
        <v>0.08</v>
      </c>
      <c r="C28" s="7">
        <v>0.08</v>
      </c>
      <c r="D28" s="7">
        <v>0.1</v>
      </c>
      <c r="E28" s="7">
        <v>0.1</v>
      </c>
      <c r="F28" s="7">
        <v>0.12</v>
      </c>
    </row>
    <row r="29" spans="1:6" ht="15" customHeight="1" x14ac:dyDescent="0.35">
      <c r="A29" s="10" t="s">
        <v>246</v>
      </c>
      <c r="B29" s="13">
        <v>0.06</v>
      </c>
      <c r="C29" s="13">
        <v>0.06</v>
      </c>
      <c r="D29" s="13">
        <v>7.0000000000000007E-2</v>
      </c>
      <c r="E29" s="13">
        <v>7.0000000000000007E-2</v>
      </c>
      <c r="F29" s="13">
        <v>0.09</v>
      </c>
    </row>
    <row r="30" spans="1:6" ht="15" customHeight="1" x14ac:dyDescent="0.35">
      <c r="A30" s="16" t="s">
        <v>247</v>
      </c>
      <c r="B30" s="16" t="s">
        <v>248</v>
      </c>
      <c r="C30" s="16" t="s">
        <v>248</v>
      </c>
      <c r="D30" s="19">
        <v>0.04</v>
      </c>
      <c r="E30" s="19">
        <v>0.04</v>
      </c>
      <c r="F30" s="19">
        <v>0.05</v>
      </c>
    </row>
    <row r="31" spans="1:6" ht="9.75" customHeight="1" x14ac:dyDescent="0.35"/>
    <row r="32" spans="1:6" ht="21.75" customHeight="1" x14ac:dyDescent="0.35">
      <c r="A32" s="64" t="s">
        <v>249</v>
      </c>
      <c r="B32" s="65"/>
      <c r="C32" s="65"/>
      <c r="D32" s="65"/>
    </row>
    <row r="33" spans="1:4" ht="27.75" customHeight="1" x14ac:dyDescent="0.35">
      <c r="A33" s="66" t="s">
        <v>172</v>
      </c>
      <c r="B33" s="66" t="s">
        <v>173</v>
      </c>
      <c r="C33" s="66" t="s">
        <v>250</v>
      </c>
      <c r="D33" s="66" t="s">
        <v>177</v>
      </c>
    </row>
    <row r="34" spans="1:4" ht="15" customHeight="1" x14ac:dyDescent="0.35">
      <c r="A34" s="4" t="s">
        <v>251</v>
      </c>
      <c r="B34" s="7">
        <v>0.68</v>
      </c>
      <c r="C34" s="4" t="s">
        <v>252</v>
      </c>
      <c r="D34" s="4" t="s">
        <v>253</v>
      </c>
    </row>
    <row r="35" spans="1:4" ht="15" customHeight="1" x14ac:dyDescent="0.35">
      <c r="A35" s="68" t="s">
        <v>254</v>
      </c>
      <c r="B35" s="69">
        <v>0.18</v>
      </c>
      <c r="C35" s="68" t="s">
        <v>252</v>
      </c>
      <c r="D35" s="68" t="s">
        <v>255</v>
      </c>
    </row>
    <row r="36" spans="1:4" ht="15" customHeight="1" x14ac:dyDescent="0.35">
      <c r="A36" s="16" t="s">
        <v>184</v>
      </c>
      <c r="B36" s="19">
        <v>7.0000000000000007E-2</v>
      </c>
      <c r="C36" s="16" t="s">
        <v>252</v>
      </c>
      <c r="D36" s="16" t="s">
        <v>256</v>
      </c>
    </row>
    <row r="37" spans="1:4" ht="15" customHeight="1" x14ac:dyDescent="0.35">
      <c r="A37" s="22" t="s">
        <v>187</v>
      </c>
      <c r="B37" s="25">
        <v>7.0000000000000007E-2</v>
      </c>
      <c r="C37" s="22" t="s">
        <v>252</v>
      </c>
      <c r="D37" s="22" t="s">
        <v>257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Ticket Sales Log</vt:lpstr>
      <vt:lpstr>Revenue by Channel &amp; Tier</vt:lpstr>
      <vt:lpstr>Revenue Distribution</vt:lpstr>
      <vt:lpstr>Rate Card &amp; Commission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Bhuwan Sirohi</cp:lastModifiedBy>
  <cp:revision>0</cp:revision>
  <dcterms:created xsi:type="dcterms:W3CDTF">2026-07-08T13:48:59Z</dcterms:created>
  <dcterms:modified xsi:type="dcterms:W3CDTF">2026-07-09T14:38:35Z</dcterms:modified>
  <dc:language>en-US</dc:language>
</cp:coreProperties>
</file>