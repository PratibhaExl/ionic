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tibha179979\Downloads\"/>
    </mc:Choice>
  </mc:AlternateContent>
  <xr:revisionPtr revIDLastSave="0" documentId="13_ncr:1_{36E2969D-624B-49C7-A310-A3BAE9FFF19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Broadcast Ad Sales Log" sheetId="1" r:id="rId1"/>
    <sheet name="Sheet1" sheetId="2" r:id="rId2"/>
  </sheets>
  <definedNames>
    <definedName name="_xlnm._FilterDatabase" localSheetId="0" hidden="1">'Broadcast Ad Sales Log'!$A$1:$O$37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7" i="1" l="1"/>
  <c r="J36" i="1"/>
  <c r="J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36" i="1" l="1"/>
  <c r="M37" i="1"/>
  <c r="M35" i="1"/>
</calcChain>
</file>

<file path=xl/sharedStrings.xml><?xml version="1.0" encoding="utf-8"?>
<sst xmlns="http://schemas.openxmlformats.org/spreadsheetml/2006/main" count="332" uniqueCount="143">
  <si>
    <t>KMTX AM 850</t>
  </si>
  <si>
    <t>202x</t>
  </si>
  <si>
    <t>Log ID</t>
  </si>
  <si>
    <t>Medium</t>
  </si>
  <si>
    <t>Channel / Station</t>
  </si>
  <si>
    <t>Game Period</t>
  </si>
  <si>
    <t>On-Air Date</t>
  </si>
  <si>
    <t>On-Air Start Time</t>
  </si>
  <si>
    <t>Duration
(Seconds)</t>
  </si>
  <si>
    <t>Ad / Slot Type</t>
  </si>
  <si>
    <t>Sponsor / Advertiser</t>
  </si>
  <si>
    <t># Spots /
Mentions</t>
  </si>
  <si>
    <t>Rate Card
($/unit)</t>
  </si>
  <si>
    <t>Actual Rate
($/unit)</t>
  </si>
  <si>
    <t>LOG-001</t>
  </si>
  <si>
    <t>TV</t>
  </si>
  <si>
    <t>SN7</t>
  </si>
  <si>
    <t>Pre-Game</t>
  </si>
  <si>
    <t>10:00 AM</t>
  </si>
  <si>
    <t>Commercial Spot</t>
  </si>
  <si>
    <t>AutoNation</t>
  </si>
  <si>
    <t>LOG-002</t>
  </si>
  <si>
    <t>10:05 AM</t>
  </si>
  <si>
    <t>State Farm</t>
  </si>
  <si>
    <t>LOG-003</t>
  </si>
  <si>
    <t>10:08 AM</t>
  </si>
  <si>
    <t>Sponsored Segment</t>
  </si>
  <si>
    <t>Gatorade – Pre-Game Show</t>
  </si>
  <si>
    <t>LOG-004</t>
  </si>
  <si>
    <t>10:12 AM</t>
  </si>
  <si>
    <t>Billboard Read</t>
  </si>
  <si>
    <t>Nike</t>
  </si>
  <si>
    <t>LOG-005</t>
  </si>
  <si>
    <t>10:15 AM</t>
  </si>
  <si>
    <t>Player Mention</t>
  </si>
  <si>
    <t>Verizon – feat. A. Rivera #10</t>
  </si>
  <si>
    <t>LOG-006</t>
  </si>
  <si>
    <t>1st Half</t>
  </si>
  <si>
    <t>11:02 AM</t>
  </si>
  <si>
    <t>Pepsi</t>
  </si>
  <si>
    <t>LOG-007</t>
  </si>
  <si>
    <t>11:20 AM</t>
  </si>
  <si>
    <t>Chevrolet</t>
  </si>
  <si>
    <t>LOG-008</t>
  </si>
  <si>
    <t>11:25 AM</t>
  </si>
  <si>
    <t>Replay Sponsor</t>
  </si>
  <si>
    <t>Verizon – Instant Replay</t>
  </si>
  <si>
    <t>LOG-009</t>
  </si>
  <si>
    <t>11:33 AM</t>
  </si>
  <si>
    <t>State Farm – feat. J. Thompson #7</t>
  </si>
  <si>
    <t>LOG-010</t>
  </si>
  <si>
    <t>11:40 AM</t>
  </si>
  <si>
    <t>Injury Timeout Spot</t>
  </si>
  <si>
    <t>Geico</t>
  </si>
  <si>
    <t>LOG-011</t>
  </si>
  <si>
    <t>Halftime</t>
  </si>
  <si>
    <t>12:00 PM</t>
  </si>
  <si>
    <t>Halftime Show Presenting</t>
  </si>
  <si>
    <t>Bud Light</t>
  </si>
  <si>
    <t>LOG-012</t>
  </si>
  <si>
    <t>12:05 PM</t>
  </si>
  <si>
    <t>LOG-013</t>
  </si>
  <si>
    <t>12:08 PM</t>
  </si>
  <si>
    <t>Papa Johns</t>
  </si>
  <si>
    <t>LOG-014</t>
  </si>
  <si>
    <t>12:11 PM</t>
  </si>
  <si>
    <t>Nike – feat. M. Osei #3</t>
  </si>
  <si>
    <t>LOG-015</t>
  </si>
  <si>
    <t>12:14 PM</t>
  </si>
  <si>
    <t>T-Mobile</t>
  </si>
  <si>
    <t>LOG-016</t>
  </si>
  <si>
    <t>2nd Half</t>
  </si>
  <si>
    <t>12:50 PM</t>
  </si>
  <si>
    <t>LOG-017</t>
  </si>
  <si>
    <t>1:05 PM</t>
  </si>
  <si>
    <t>LOG-018</t>
  </si>
  <si>
    <t>1:10 PM</t>
  </si>
  <si>
    <t>Gatorade – feat. A. Rivera #10</t>
  </si>
  <si>
    <t>LOG-019</t>
  </si>
  <si>
    <t>1:22 PM</t>
  </si>
  <si>
    <t>LOG-020</t>
  </si>
  <si>
    <t>1:35 PM</t>
  </si>
  <si>
    <t>State Farm – Stat of the Game</t>
  </si>
  <si>
    <t>LOG-021</t>
  </si>
  <si>
    <t>Post-Game</t>
  </si>
  <si>
    <t>2:10 PM</t>
  </si>
  <si>
    <t>LOG-022</t>
  </si>
  <si>
    <t>2:15 PM</t>
  </si>
  <si>
    <t>Chevrolet – Post-Game Show</t>
  </si>
  <si>
    <t>LOG-023</t>
  </si>
  <si>
    <t>2:20 PM</t>
  </si>
  <si>
    <t>Nike – feat. J. Thompson #7</t>
  </si>
  <si>
    <t>LOG-024</t>
  </si>
  <si>
    <t>Radio</t>
  </si>
  <si>
    <t>LOG-025</t>
  </si>
  <si>
    <t>10:04 AM</t>
  </si>
  <si>
    <t>Live Read</t>
  </si>
  <si>
    <t>Subway</t>
  </si>
  <si>
    <t>LOG-026</t>
  </si>
  <si>
    <t>11:00 AM</t>
  </si>
  <si>
    <t>LOG-027</t>
  </si>
  <si>
    <t>11:28 AM</t>
  </si>
  <si>
    <t>State Farm – feat. A. Rivera #10</t>
  </si>
  <si>
    <t>LOG-028</t>
  </si>
  <si>
    <t>Halftime Presenting</t>
  </si>
  <si>
    <t>Gatorade</t>
  </si>
  <si>
    <t>LOG-029</t>
  </si>
  <si>
    <t>12:04 PM</t>
  </si>
  <si>
    <t>LOG-030</t>
  </si>
  <si>
    <t>1:00 PM</t>
  </si>
  <si>
    <t>LOG-031</t>
  </si>
  <si>
    <t>1:18 PM</t>
  </si>
  <si>
    <t>Verizon – feat. M. Osei #3</t>
  </si>
  <si>
    <t>LOG-032</t>
  </si>
  <si>
    <t>2:05 PM</t>
  </si>
  <si>
    <t>LOG-033</t>
  </si>
  <si>
    <t>2:09 PM</t>
  </si>
  <si>
    <t>TOTAL</t>
  </si>
  <si>
    <t xml:space="preserve">  TV (SN7) Sub-Total</t>
  </si>
  <si>
    <t xml:space="preserve">  Radio (KMTX AM 850) Sub-Total</t>
  </si>
  <si>
    <t>Net Revenue ($)</t>
  </si>
  <si>
    <t>Talent Name</t>
  </si>
  <si>
    <t>Talent share</t>
  </si>
  <si>
    <t>Carlos Rivera</t>
  </si>
  <si>
    <t>David Williams</t>
  </si>
  <si>
    <t>Marcus Johnson</t>
  </si>
  <si>
    <t>NA</t>
  </si>
  <si>
    <t>========================================</t>
  </si>
  <si>
    <t>Broadcasting Contract configuration - </t>
  </si>
  <si>
    <t>Broadcaster revenue share 35%</t>
  </si>
  <si>
    <t>  Broadcaster Split</t>
  </si>
  <si>
    <t>  Sports Network 7 (TV) 20%</t>
  </si>
  <si>
    <t>  KMTX AM 850 (Radio) 15%</t>
  </si>
  <si>
    <t>Club revenue share 65%</t>
  </si>
  <si>
    <t>  Club retained - 55%</t>
  </si>
  <si>
    <t>  League Revenue Share % 10%</t>
  </si>
  <si>
    <t>  Talent share %</t>
  </si>
  <si>
    <t>  Music/IP Royalty - skip</t>
  </si>
  <si>
    <t>Talent Share  = Alejandro Cruz - Revenue share =10%</t>
  </si>
  <si>
    <t>Carlos Rivera - Revenue share =4%</t>
  </si>
  <si>
    <t>David Williams - Revenue share =9.25%</t>
  </si>
  <si>
    <t>Kenji Takahashi - Revenue share =8.5%</t>
  </si>
  <si>
    <t>Marcus Johnson - Revenue share =6%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</si>
</sst>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$#,##0.00;&quot;($&quot;#,##0.00\);\-"/>
    <numFmt numFmtId="166" formatCode="0.0%;0.0%;\-"/>
  </numFmts>
  <fonts count="6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2C52"/>
        <bgColor rgb="FF333300"/>
      </patternFill>
    </fill>
    <fill>
      <patternFill patternType="solid">
        <fgColor rgb="FFD6E4F7"/>
        <bgColor rgb="FFEAF0FB"/>
      </patternFill>
    </fill>
    <fill>
      <patternFill patternType="solid">
        <fgColor rgb="FFFFFFFF"/>
        <bgColor rgb="FFEAF0FB"/>
      </patternFill>
    </fill>
    <fill>
      <patternFill patternType="solid">
        <fgColor rgb="FFC9A227"/>
        <bgColor rgb="FF99CC00"/>
      </patternFill>
    </fill>
    <fill>
      <patternFill patternType="solid">
        <fgColor rgb="FF2E74B5"/>
        <bgColor rgb="FF008080"/>
      </patternFill>
    </fill>
    <fill>
      <patternFill patternType="solid">
        <fgColor rgb="FF1F4E8C"/>
        <bgColor rgb="FF1A5C3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right" vertical="center"/>
    </xf>
    <xf numFmtId="165" fontId="1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right" vertical="center"/>
    </xf>
    <xf numFmtId="10" fontId="1" fillId="3" borderId="1" xfId="0" applyNumberFormat="1" applyFont="1" applyFill="1" applyBorder="1" applyAlignment="1">
      <alignment horizontal="right" vertical="center"/>
    </xf>
    <xf numFmtId="10" fontId="1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B"/>
      <rgbColor rgb="FF660066"/>
      <rgbColor rgb="FFFF8080"/>
      <rgbColor rgb="FF1F4E8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C9A227"/>
      <rgbColor rgb="FFFF6600"/>
      <rgbColor rgb="FF666699"/>
      <rgbColor rgb="FF969696"/>
      <rgbColor rgb="FF1A2C52"/>
      <rgbColor rgb="FF339966"/>
      <rgbColor rgb="FF003300"/>
      <rgbColor rgb="FF333300"/>
      <rgbColor rgb="FF7B2020"/>
      <rgbColor rgb="FF993366"/>
      <rgbColor rgb="FF4B2882"/>
      <rgbColor rgb="FF1A5C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showGridLines="0" zoomScale="70" zoomScaleNormal="70" workbookViewId="0">
      <pane ySplit="1" topLeftCell="A4" activePane="bottomLeft" state="frozen"/>
      <selection pane="bottomLeft" activeCell="N42" sqref="N42"/>
    </sheetView>
  </sheetViews>
  <sheetFormatPr defaultColWidth="8.6640625" defaultRowHeight="14.4" x14ac:dyDescent="0.3"/>
  <cols>
    <col min="1" max="1" width="10" customWidth="1"/>
    <col min="2" max="2" width="8" customWidth="1"/>
    <col min="3" max="3" width="20" customWidth="1"/>
    <col min="4" max="4" width="11" customWidth="1"/>
    <col min="5" max="5" width="12" customWidth="1"/>
    <col min="6" max="6" width="14" customWidth="1"/>
    <col min="7" max="7" width="10" customWidth="1"/>
    <col min="8" max="8" width="26" customWidth="1"/>
    <col min="9" max="9" width="28" customWidth="1"/>
    <col min="10" max="10" width="9" customWidth="1"/>
    <col min="11" max="12" width="13" customWidth="1"/>
    <col min="13" max="13" width="16" customWidth="1"/>
    <col min="14" max="14" width="16.109375" bestFit="1" customWidth="1"/>
    <col min="15" max="15" width="15" customWidth="1"/>
    <col min="16" max="16" width="16" customWidth="1"/>
  </cols>
  <sheetData>
    <row r="1" spans="1:16" ht="43.5" customHeigh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120</v>
      </c>
      <c r="N1" s="1" t="s">
        <v>121</v>
      </c>
      <c r="O1" s="1" t="s">
        <v>122</v>
      </c>
      <c r="P1" s="1"/>
    </row>
    <row r="2" spans="1:16" ht="15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</v>
      </c>
      <c r="F2" s="2" t="s">
        <v>18</v>
      </c>
      <c r="G2" s="3">
        <v>30</v>
      </c>
      <c r="H2" s="2" t="s">
        <v>19</v>
      </c>
      <c r="I2" s="2" t="s">
        <v>20</v>
      </c>
      <c r="J2" s="3">
        <v>2</v>
      </c>
      <c r="K2" s="4">
        <v>4200</v>
      </c>
      <c r="L2" s="4">
        <v>4200</v>
      </c>
      <c r="M2" s="5">
        <f t="shared" ref="M2:M34" si="0">J2*L2</f>
        <v>8400</v>
      </c>
      <c r="N2" s="6" t="s">
        <v>126</v>
      </c>
      <c r="O2" s="5"/>
      <c r="P2" s="5"/>
    </row>
    <row r="3" spans="1:16" ht="15" customHeight="1" x14ac:dyDescent="0.3">
      <c r="A3" s="7" t="s">
        <v>21</v>
      </c>
      <c r="B3" s="7" t="s">
        <v>15</v>
      </c>
      <c r="C3" s="7" t="s">
        <v>16</v>
      </c>
      <c r="D3" s="7" t="s">
        <v>17</v>
      </c>
      <c r="E3" s="7" t="s">
        <v>1</v>
      </c>
      <c r="F3" s="7" t="s">
        <v>22</v>
      </c>
      <c r="G3" s="8">
        <v>30</v>
      </c>
      <c r="H3" s="7" t="s">
        <v>19</v>
      </c>
      <c r="I3" s="7" t="s">
        <v>23</v>
      </c>
      <c r="J3" s="8">
        <v>2</v>
      </c>
      <c r="K3" s="9">
        <v>4200</v>
      </c>
      <c r="L3" s="9">
        <v>3900</v>
      </c>
      <c r="M3" s="10">
        <f t="shared" si="0"/>
        <v>7800</v>
      </c>
      <c r="N3" s="11" t="s">
        <v>126</v>
      </c>
      <c r="O3" s="10"/>
      <c r="P3" s="10"/>
    </row>
    <row r="4" spans="1:16" ht="15" customHeight="1" x14ac:dyDescent="0.3">
      <c r="A4" s="2" t="s">
        <v>24</v>
      </c>
      <c r="B4" s="2" t="s">
        <v>15</v>
      </c>
      <c r="C4" s="2" t="s">
        <v>16</v>
      </c>
      <c r="D4" s="2" t="s">
        <v>17</v>
      </c>
      <c r="E4" s="2" t="s">
        <v>1</v>
      </c>
      <c r="F4" s="2" t="s">
        <v>25</v>
      </c>
      <c r="G4" s="3">
        <v>60</v>
      </c>
      <c r="H4" s="2" t="s">
        <v>26</v>
      </c>
      <c r="I4" s="2" t="s">
        <v>27</v>
      </c>
      <c r="J4" s="3">
        <v>1</v>
      </c>
      <c r="K4" s="4">
        <v>8500</v>
      </c>
      <c r="L4" s="4">
        <v>8500</v>
      </c>
      <c r="M4" s="5">
        <f t="shared" si="0"/>
        <v>8500</v>
      </c>
      <c r="N4" s="11" t="s">
        <v>126</v>
      </c>
      <c r="O4" s="5"/>
      <c r="P4" s="5"/>
    </row>
    <row r="5" spans="1:16" ht="15" customHeight="1" x14ac:dyDescent="0.3">
      <c r="A5" s="7" t="s">
        <v>28</v>
      </c>
      <c r="B5" s="7" t="s">
        <v>15</v>
      </c>
      <c r="C5" s="7" t="s">
        <v>16</v>
      </c>
      <c r="D5" s="7" t="s">
        <v>17</v>
      </c>
      <c r="E5" s="7" t="s">
        <v>1</v>
      </c>
      <c r="F5" s="7" t="s">
        <v>29</v>
      </c>
      <c r="G5" s="8">
        <v>15</v>
      </c>
      <c r="H5" s="7" t="s">
        <v>30</v>
      </c>
      <c r="I5" s="7" t="s">
        <v>31</v>
      </c>
      <c r="J5" s="8">
        <v>1</v>
      </c>
      <c r="K5" s="9">
        <v>1800</v>
      </c>
      <c r="L5" s="9">
        <v>1800</v>
      </c>
      <c r="M5" s="10">
        <f t="shared" si="0"/>
        <v>1800</v>
      </c>
      <c r="N5" s="11" t="s">
        <v>126</v>
      </c>
      <c r="O5" s="10"/>
      <c r="P5" s="10"/>
    </row>
    <row r="6" spans="1:16" ht="15" customHeight="1" x14ac:dyDescent="0.3">
      <c r="A6" s="2" t="s">
        <v>32</v>
      </c>
      <c r="B6" s="2" t="s">
        <v>15</v>
      </c>
      <c r="C6" s="2" t="s">
        <v>16</v>
      </c>
      <c r="D6" s="2" t="s">
        <v>17</v>
      </c>
      <c r="E6" s="2" t="s">
        <v>1</v>
      </c>
      <c r="F6" s="2" t="s">
        <v>33</v>
      </c>
      <c r="G6" s="3">
        <v>30</v>
      </c>
      <c r="H6" s="2" t="s">
        <v>34</v>
      </c>
      <c r="I6" s="2" t="s">
        <v>35</v>
      </c>
      <c r="J6" s="3">
        <v>1</v>
      </c>
      <c r="K6" s="4">
        <v>5500</v>
      </c>
      <c r="L6" s="4">
        <v>5500</v>
      </c>
      <c r="M6" s="5">
        <f t="shared" si="0"/>
        <v>5500</v>
      </c>
      <c r="N6" s="6" t="s">
        <v>123</v>
      </c>
      <c r="O6" s="24">
        <v>0.04</v>
      </c>
      <c r="P6" s="5"/>
    </row>
    <row r="7" spans="1:16" ht="15" customHeight="1" x14ac:dyDescent="0.3">
      <c r="A7" s="7" t="s">
        <v>36</v>
      </c>
      <c r="B7" s="7" t="s">
        <v>15</v>
      </c>
      <c r="C7" s="7" t="s">
        <v>16</v>
      </c>
      <c r="D7" s="7" t="s">
        <v>37</v>
      </c>
      <c r="E7" s="7" t="s">
        <v>1</v>
      </c>
      <c r="F7" s="7" t="s">
        <v>38</v>
      </c>
      <c r="G7" s="8">
        <v>30</v>
      </c>
      <c r="H7" s="7" t="s">
        <v>19</v>
      </c>
      <c r="I7" s="7" t="s">
        <v>39</v>
      </c>
      <c r="J7" s="8">
        <v>2</v>
      </c>
      <c r="K7" s="9">
        <v>5800</v>
      </c>
      <c r="L7" s="9">
        <v>5800</v>
      </c>
      <c r="M7" s="10">
        <f t="shared" si="0"/>
        <v>11600</v>
      </c>
      <c r="N7" s="6" t="s">
        <v>124</v>
      </c>
      <c r="O7" s="24">
        <v>9.2499999999999999E-2</v>
      </c>
      <c r="P7" s="10"/>
    </row>
    <row r="8" spans="1:16" ht="15" customHeight="1" x14ac:dyDescent="0.3">
      <c r="A8" s="2" t="s">
        <v>40</v>
      </c>
      <c r="B8" s="2" t="s">
        <v>15</v>
      </c>
      <c r="C8" s="2" t="s">
        <v>16</v>
      </c>
      <c r="D8" s="2" t="s">
        <v>37</v>
      </c>
      <c r="E8" s="2" t="s">
        <v>1</v>
      </c>
      <c r="F8" s="2" t="s">
        <v>41</v>
      </c>
      <c r="G8" s="3">
        <v>30</v>
      </c>
      <c r="H8" s="2" t="s">
        <v>19</v>
      </c>
      <c r="I8" s="2" t="s">
        <v>42</v>
      </c>
      <c r="J8" s="3">
        <v>2</v>
      </c>
      <c r="K8" s="4">
        <v>5800</v>
      </c>
      <c r="L8" s="4">
        <v>5500</v>
      </c>
      <c r="M8" s="5">
        <f t="shared" si="0"/>
        <v>11000</v>
      </c>
      <c r="N8" s="11" t="s">
        <v>126</v>
      </c>
      <c r="O8" s="5"/>
      <c r="P8" s="5"/>
    </row>
    <row r="9" spans="1:16" ht="15" customHeight="1" x14ac:dyDescent="0.3">
      <c r="A9" s="7" t="s">
        <v>43</v>
      </c>
      <c r="B9" s="7" t="s">
        <v>15</v>
      </c>
      <c r="C9" s="7" t="s">
        <v>16</v>
      </c>
      <c r="D9" s="7" t="s">
        <v>37</v>
      </c>
      <c r="E9" s="7" t="s">
        <v>1</v>
      </c>
      <c r="F9" s="7" t="s">
        <v>44</v>
      </c>
      <c r="G9" s="8">
        <v>15</v>
      </c>
      <c r="H9" s="7" t="s">
        <v>45</v>
      </c>
      <c r="I9" s="7" t="s">
        <v>46</v>
      </c>
      <c r="J9" s="8">
        <v>3</v>
      </c>
      <c r="K9" s="9">
        <v>2200</v>
      </c>
      <c r="L9" s="9">
        <v>2200</v>
      </c>
      <c r="M9" s="10">
        <f t="shared" si="0"/>
        <v>6600</v>
      </c>
      <c r="N9" s="11" t="s">
        <v>126</v>
      </c>
      <c r="O9" s="10"/>
      <c r="P9" s="10"/>
    </row>
    <row r="10" spans="1:16" ht="15" customHeight="1" x14ac:dyDescent="0.3">
      <c r="A10" s="2" t="s">
        <v>47</v>
      </c>
      <c r="B10" s="2" t="s">
        <v>15</v>
      </c>
      <c r="C10" s="2" t="s">
        <v>16</v>
      </c>
      <c r="D10" s="2" t="s">
        <v>37</v>
      </c>
      <c r="E10" s="2" t="s">
        <v>1</v>
      </c>
      <c r="F10" s="2" t="s">
        <v>48</v>
      </c>
      <c r="G10" s="3">
        <v>30</v>
      </c>
      <c r="H10" s="2" t="s">
        <v>34</v>
      </c>
      <c r="I10" s="2" t="s">
        <v>49</v>
      </c>
      <c r="J10" s="3">
        <v>1</v>
      </c>
      <c r="K10" s="4">
        <v>6200</v>
      </c>
      <c r="L10" s="4">
        <v>6200</v>
      </c>
      <c r="M10" s="5">
        <f t="shared" si="0"/>
        <v>6200</v>
      </c>
      <c r="N10" s="6" t="s">
        <v>124</v>
      </c>
      <c r="O10" s="24">
        <v>9.2499999999999999E-2</v>
      </c>
      <c r="P10" s="5"/>
    </row>
    <row r="11" spans="1:16" ht="15" customHeight="1" x14ac:dyDescent="0.3">
      <c r="A11" s="7" t="s">
        <v>50</v>
      </c>
      <c r="B11" s="7" t="s">
        <v>15</v>
      </c>
      <c r="C11" s="7" t="s">
        <v>16</v>
      </c>
      <c r="D11" s="7" t="s">
        <v>37</v>
      </c>
      <c r="E11" s="7" t="s">
        <v>1</v>
      </c>
      <c r="F11" s="7" t="s">
        <v>51</v>
      </c>
      <c r="G11" s="8">
        <v>60</v>
      </c>
      <c r="H11" s="7" t="s">
        <v>52</v>
      </c>
      <c r="I11" s="7" t="s">
        <v>53</v>
      </c>
      <c r="J11" s="8">
        <v>1</v>
      </c>
      <c r="K11" s="9">
        <v>7000</v>
      </c>
      <c r="L11" s="9">
        <v>6500</v>
      </c>
      <c r="M11" s="10">
        <f t="shared" si="0"/>
        <v>6500</v>
      </c>
      <c r="N11" s="11" t="s">
        <v>126</v>
      </c>
      <c r="O11" s="10"/>
      <c r="P11" s="10"/>
    </row>
    <row r="12" spans="1:16" ht="15" customHeight="1" x14ac:dyDescent="0.3">
      <c r="A12" s="2" t="s">
        <v>54</v>
      </c>
      <c r="B12" s="2" t="s">
        <v>15</v>
      </c>
      <c r="C12" s="2" t="s">
        <v>16</v>
      </c>
      <c r="D12" s="2" t="s">
        <v>55</v>
      </c>
      <c r="E12" s="2" t="s">
        <v>1</v>
      </c>
      <c r="F12" s="2" t="s">
        <v>56</v>
      </c>
      <c r="G12" s="3">
        <v>300</v>
      </c>
      <c r="H12" s="2" t="s">
        <v>57</v>
      </c>
      <c r="I12" s="2" t="s">
        <v>58</v>
      </c>
      <c r="J12" s="3">
        <v>1</v>
      </c>
      <c r="K12" s="4">
        <v>22000</v>
      </c>
      <c r="L12" s="4">
        <v>22000</v>
      </c>
      <c r="M12" s="5">
        <f t="shared" si="0"/>
        <v>22000</v>
      </c>
      <c r="N12" s="11" t="s">
        <v>126</v>
      </c>
      <c r="O12" s="5"/>
      <c r="P12" s="5"/>
    </row>
    <row r="13" spans="1:16" ht="15" customHeight="1" x14ac:dyDescent="0.3">
      <c r="A13" s="7" t="s">
        <v>59</v>
      </c>
      <c r="B13" s="7" t="s">
        <v>15</v>
      </c>
      <c r="C13" s="7" t="s">
        <v>16</v>
      </c>
      <c r="D13" s="7" t="s">
        <v>55</v>
      </c>
      <c r="E13" s="7" t="s">
        <v>1</v>
      </c>
      <c r="F13" s="7" t="s">
        <v>60</v>
      </c>
      <c r="G13" s="8">
        <v>30</v>
      </c>
      <c r="H13" s="7" t="s">
        <v>19</v>
      </c>
      <c r="I13" s="7" t="s">
        <v>20</v>
      </c>
      <c r="J13" s="8">
        <v>2</v>
      </c>
      <c r="K13" s="9">
        <v>4200</v>
      </c>
      <c r="L13" s="9">
        <v>4200</v>
      </c>
      <c r="M13" s="10">
        <f t="shared" si="0"/>
        <v>8400</v>
      </c>
      <c r="N13" s="11" t="s">
        <v>126</v>
      </c>
      <c r="O13" s="10"/>
      <c r="P13" s="10"/>
    </row>
    <row r="14" spans="1:16" ht="15" customHeight="1" x14ac:dyDescent="0.3">
      <c r="A14" s="2" t="s">
        <v>61</v>
      </c>
      <c r="B14" s="2" t="s">
        <v>15</v>
      </c>
      <c r="C14" s="2" t="s">
        <v>16</v>
      </c>
      <c r="D14" s="2" t="s">
        <v>55</v>
      </c>
      <c r="E14" s="2" t="s">
        <v>1</v>
      </c>
      <c r="F14" s="2" t="s">
        <v>62</v>
      </c>
      <c r="G14" s="3">
        <v>30</v>
      </c>
      <c r="H14" s="2" t="s">
        <v>19</v>
      </c>
      <c r="I14" s="2" t="s">
        <v>63</v>
      </c>
      <c r="J14" s="3">
        <v>2</v>
      </c>
      <c r="K14" s="4">
        <v>4200</v>
      </c>
      <c r="L14" s="4">
        <v>4000</v>
      </c>
      <c r="M14" s="5">
        <f t="shared" si="0"/>
        <v>8000</v>
      </c>
      <c r="N14" s="11" t="s">
        <v>126</v>
      </c>
      <c r="O14" s="5"/>
      <c r="P14" s="5"/>
    </row>
    <row r="15" spans="1:16" ht="15" customHeight="1" x14ac:dyDescent="0.3">
      <c r="A15" s="7" t="s">
        <v>64</v>
      </c>
      <c r="B15" s="7" t="s">
        <v>15</v>
      </c>
      <c r="C15" s="7" t="s">
        <v>16</v>
      </c>
      <c r="D15" s="7" t="s">
        <v>55</v>
      </c>
      <c r="E15" s="7" t="s">
        <v>1</v>
      </c>
      <c r="F15" s="7" t="s">
        <v>65</v>
      </c>
      <c r="G15" s="8">
        <v>30</v>
      </c>
      <c r="H15" s="7" t="s">
        <v>34</v>
      </c>
      <c r="I15" s="7" t="s">
        <v>66</v>
      </c>
      <c r="J15" s="8">
        <v>1</v>
      </c>
      <c r="K15" s="9">
        <v>6800</v>
      </c>
      <c r="L15" s="9">
        <v>6800</v>
      </c>
      <c r="M15" s="10">
        <f t="shared" si="0"/>
        <v>6800</v>
      </c>
      <c r="N15" s="11" t="s">
        <v>125</v>
      </c>
      <c r="O15" s="25">
        <v>0.06</v>
      </c>
      <c r="P15" s="10"/>
    </row>
    <row r="16" spans="1:16" ht="15" customHeight="1" x14ac:dyDescent="0.3">
      <c r="A16" s="2" t="s">
        <v>67</v>
      </c>
      <c r="B16" s="2" t="s">
        <v>15</v>
      </c>
      <c r="C16" s="2" t="s">
        <v>16</v>
      </c>
      <c r="D16" s="2" t="s">
        <v>55</v>
      </c>
      <c r="E16" s="2" t="s">
        <v>1</v>
      </c>
      <c r="F16" s="2" t="s">
        <v>68</v>
      </c>
      <c r="G16" s="3">
        <v>60</v>
      </c>
      <c r="H16" s="2" t="s">
        <v>19</v>
      </c>
      <c r="I16" s="2" t="s">
        <v>69</v>
      </c>
      <c r="J16" s="3">
        <v>1</v>
      </c>
      <c r="K16" s="4">
        <v>7500</v>
      </c>
      <c r="L16" s="4">
        <v>7500</v>
      </c>
      <c r="M16" s="5">
        <f t="shared" si="0"/>
        <v>7500</v>
      </c>
      <c r="N16" s="11" t="s">
        <v>126</v>
      </c>
      <c r="O16" s="5"/>
      <c r="P16" s="5"/>
    </row>
    <row r="17" spans="1:16" ht="15" customHeight="1" x14ac:dyDescent="0.3">
      <c r="A17" s="7" t="s">
        <v>70</v>
      </c>
      <c r="B17" s="7" t="s">
        <v>15</v>
      </c>
      <c r="C17" s="7" t="s">
        <v>16</v>
      </c>
      <c r="D17" s="7" t="s">
        <v>71</v>
      </c>
      <c r="E17" s="7" t="s">
        <v>1</v>
      </c>
      <c r="F17" s="7" t="s">
        <v>72</v>
      </c>
      <c r="G17" s="8">
        <v>30</v>
      </c>
      <c r="H17" s="7" t="s">
        <v>19</v>
      </c>
      <c r="I17" s="7" t="s">
        <v>39</v>
      </c>
      <c r="J17" s="8">
        <v>2</v>
      </c>
      <c r="K17" s="9">
        <v>5800</v>
      </c>
      <c r="L17" s="9">
        <v>5800</v>
      </c>
      <c r="M17" s="10">
        <f t="shared" si="0"/>
        <v>11600</v>
      </c>
      <c r="N17" s="11" t="s">
        <v>126</v>
      </c>
      <c r="O17" s="10"/>
      <c r="P17" s="10"/>
    </row>
    <row r="18" spans="1:16" ht="15" customHeight="1" x14ac:dyDescent="0.3">
      <c r="A18" s="2" t="s">
        <v>73</v>
      </c>
      <c r="B18" s="2" t="s">
        <v>15</v>
      </c>
      <c r="C18" s="2" t="s">
        <v>16</v>
      </c>
      <c r="D18" s="2" t="s">
        <v>71</v>
      </c>
      <c r="E18" s="2" t="s">
        <v>1</v>
      </c>
      <c r="F18" s="2" t="s">
        <v>74</v>
      </c>
      <c r="G18" s="3">
        <v>15</v>
      </c>
      <c r="H18" s="2" t="s">
        <v>45</v>
      </c>
      <c r="I18" s="2" t="s">
        <v>46</v>
      </c>
      <c r="J18" s="3">
        <v>3</v>
      </c>
      <c r="K18" s="4">
        <v>2200</v>
      </c>
      <c r="L18" s="4">
        <v>2200</v>
      </c>
      <c r="M18" s="5">
        <f t="shared" si="0"/>
        <v>6600</v>
      </c>
      <c r="N18" s="11" t="s">
        <v>126</v>
      </c>
      <c r="O18" s="5"/>
      <c r="P18" s="5"/>
    </row>
    <row r="19" spans="1:16" ht="15" customHeight="1" x14ac:dyDescent="0.3">
      <c r="A19" s="7" t="s">
        <v>75</v>
      </c>
      <c r="B19" s="7" t="s">
        <v>15</v>
      </c>
      <c r="C19" s="7" t="s">
        <v>16</v>
      </c>
      <c r="D19" s="7" t="s">
        <v>71</v>
      </c>
      <c r="E19" s="7" t="s">
        <v>1</v>
      </c>
      <c r="F19" s="7" t="s">
        <v>76</v>
      </c>
      <c r="G19" s="8">
        <v>30</v>
      </c>
      <c r="H19" s="7" t="s">
        <v>34</v>
      </c>
      <c r="I19" s="7" t="s">
        <v>77</v>
      </c>
      <c r="J19" s="8">
        <v>1</v>
      </c>
      <c r="K19" s="9">
        <v>6200</v>
      </c>
      <c r="L19" s="9">
        <v>6200</v>
      </c>
      <c r="M19" s="10">
        <f t="shared" si="0"/>
        <v>6200</v>
      </c>
      <c r="N19" s="11" t="s">
        <v>123</v>
      </c>
      <c r="O19" s="25">
        <v>0.04</v>
      </c>
      <c r="P19" s="10"/>
    </row>
    <row r="20" spans="1:16" ht="15" customHeight="1" x14ac:dyDescent="0.3">
      <c r="A20" s="2" t="s">
        <v>78</v>
      </c>
      <c r="B20" s="2" t="s">
        <v>15</v>
      </c>
      <c r="C20" s="2" t="s">
        <v>16</v>
      </c>
      <c r="D20" s="2" t="s">
        <v>71</v>
      </c>
      <c r="E20" s="2" t="s">
        <v>1</v>
      </c>
      <c r="F20" s="2" t="s">
        <v>79</v>
      </c>
      <c r="G20" s="3">
        <v>30</v>
      </c>
      <c r="H20" s="2" t="s">
        <v>19</v>
      </c>
      <c r="I20" s="2" t="s">
        <v>53</v>
      </c>
      <c r="J20" s="3">
        <v>2</v>
      </c>
      <c r="K20" s="4">
        <v>5800</v>
      </c>
      <c r="L20" s="4">
        <v>5800</v>
      </c>
      <c r="M20" s="5">
        <f t="shared" si="0"/>
        <v>11600</v>
      </c>
      <c r="N20" s="11" t="s">
        <v>126</v>
      </c>
      <c r="O20" s="5"/>
      <c r="P20" s="5"/>
    </row>
    <row r="21" spans="1:16" ht="15" customHeight="1" x14ac:dyDescent="0.3">
      <c r="A21" s="7" t="s">
        <v>80</v>
      </c>
      <c r="B21" s="7" t="s">
        <v>15</v>
      </c>
      <c r="C21" s="7" t="s">
        <v>16</v>
      </c>
      <c r="D21" s="7" t="s">
        <v>71</v>
      </c>
      <c r="E21" s="7" t="s">
        <v>1</v>
      </c>
      <c r="F21" s="7" t="s">
        <v>81</v>
      </c>
      <c r="G21" s="8">
        <v>60</v>
      </c>
      <c r="H21" s="7" t="s">
        <v>26</v>
      </c>
      <c r="I21" s="7" t="s">
        <v>82</v>
      </c>
      <c r="J21" s="8">
        <v>1</v>
      </c>
      <c r="K21" s="9">
        <v>9000</v>
      </c>
      <c r="L21" s="9">
        <v>8500</v>
      </c>
      <c r="M21" s="10">
        <f t="shared" si="0"/>
        <v>8500</v>
      </c>
      <c r="N21" s="11" t="s">
        <v>126</v>
      </c>
      <c r="O21" s="10"/>
      <c r="P21" s="10"/>
    </row>
    <row r="22" spans="1:16" ht="15" customHeight="1" x14ac:dyDescent="0.3">
      <c r="A22" s="2" t="s">
        <v>83</v>
      </c>
      <c r="B22" s="2" t="s">
        <v>15</v>
      </c>
      <c r="C22" s="2" t="s">
        <v>16</v>
      </c>
      <c r="D22" s="2" t="s">
        <v>84</v>
      </c>
      <c r="E22" s="2" t="s">
        <v>1</v>
      </c>
      <c r="F22" s="2" t="s">
        <v>85</v>
      </c>
      <c r="G22" s="3">
        <v>30</v>
      </c>
      <c r="H22" s="2" t="s">
        <v>19</v>
      </c>
      <c r="I22" s="2" t="s">
        <v>20</v>
      </c>
      <c r="J22" s="3">
        <v>2</v>
      </c>
      <c r="K22" s="4">
        <v>4200</v>
      </c>
      <c r="L22" s="4">
        <v>4200</v>
      </c>
      <c r="M22" s="5">
        <f t="shared" si="0"/>
        <v>8400</v>
      </c>
      <c r="N22" s="11" t="s">
        <v>126</v>
      </c>
      <c r="O22" s="5"/>
      <c r="P22" s="5"/>
    </row>
    <row r="23" spans="1:16" ht="15" customHeight="1" x14ac:dyDescent="0.3">
      <c r="A23" s="7" t="s">
        <v>86</v>
      </c>
      <c r="B23" s="7" t="s">
        <v>15</v>
      </c>
      <c r="C23" s="7" t="s">
        <v>16</v>
      </c>
      <c r="D23" s="7" t="s">
        <v>84</v>
      </c>
      <c r="E23" s="7" t="s">
        <v>1</v>
      </c>
      <c r="F23" s="7" t="s">
        <v>87</v>
      </c>
      <c r="G23" s="8">
        <v>60</v>
      </c>
      <c r="H23" s="7" t="s">
        <v>26</v>
      </c>
      <c r="I23" s="7" t="s">
        <v>88</v>
      </c>
      <c r="J23" s="8">
        <v>1</v>
      </c>
      <c r="K23" s="9">
        <v>8500</v>
      </c>
      <c r="L23" s="9">
        <v>8500</v>
      </c>
      <c r="M23" s="10">
        <f t="shared" si="0"/>
        <v>8500</v>
      </c>
      <c r="N23" s="11" t="s">
        <v>126</v>
      </c>
      <c r="O23" s="10"/>
      <c r="P23" s="10"/>
    </row>
    <row r="24" spans="1:16" ht="15" customHeight="1" x14ac:dyDescent="0.3">
      <c r="A24" s="2" t="s">
        <v>89</v>
      </c>
      <c r="B24" s="2" t="s">
        <v>15</v>
      </c>
      <c r="C24" s="2" t="s">
        <v>16</v>
      </c>
      <c r="D24" s="2" t="s">
        <v>84</v>
      </c>
      <c r="E24" s="2" t="s">
        <v>1</v>
      </c>
      <c r="F24" s="2" t="s">
        <v>90</v>
      </c>
      <c r="G24" s="3">
        <v>30</v>
      </c>
      <c r="H24" s="2" t="s">
        <v>34</v>
      </c>
      <c r="I24" s="2" t="s">
        <v>91</v>
      </c>
      <c r="J24" s="3">
        <v>1</v>
      </c>
      <c r="K24" s="4">
        <v>6200</v>
      </c>
      <c r="L24" s="4">
        <v>5800</v>
      </c>
      <c r="M24" s="5">
        <f t="shared" si="0"/>
        <v>5800</v>
      </c>
      <c r="N24" s="6" t="s">
        <v>124</v>
      </c>
      <c r="O24" s="24">
        <v>9.2499999999999999E-2</v>
      </c>
      <c r="P24" s="5"/>
    </row>
    <row r="25" spans="1:16" ht="15" customHeight="1" x14ac:dyDescent="0.3">
      <c r="A25" s="7" t="s">
        <v>92</v>
      </c>
      <c r="B25" s="7" t="s">
        <v>93</v>
      </c>
      <c r="C25" s="7" t="s">
        <v>0</v>
      </c>
      <c r="D25" s="7" t="s">
        <v>17</v>
      </c>
      <c r="E25" s="7" t="s">
        <v>1</v>
      </c>
      <c r="F25" s="7" t="s">
        <v>18</v>
      </c>
      <c r="G25" s="8">
        <v>30</v>
      </c>
      <c r="H25" s="7" t="s">
        <v>19</v>
      </c>
      <c r="I25" s="7" t="s">
        <v>20</v>
      </c>
      <c r="J25" s="8">
        <v>2</v>
      </c>
      <c r="K25" s="9">
        <v>1200</v>
      </c>
      <c r="L25" s="9">
        <v>1200</v>
      </c>
      <c r="M25" s="10">
        <f t="shared" si="0"/>
        <v>2400</v>
      </c>
      <c r="N25" s="6" t="s">
        <v>123</v>
      </c>
      <c r="O25" s="24">
        <v>0.04</v>
      </c>
      <c r="P25" s="10"/>
    </row>
    <row r="26" spans="1:16" ht="15" customHeight="1" x14ac:dyDescent="0.3">
      <c r="A26" s="2" t="s">
        <v>94</v>
      </c>
      <c r="B26" s="2" t="s">
        <v>93</v>
      </c>
      <c r="C26" s="2" t="s">
        <v>0</v>
      </c>
      <c r="D26" s="2" t="s">
        <v>17</v>
      </c>
      <c r="E26" s="2" t="s">
        <v>1</v>
      </c>
      <c r="F26" s="2" t="s">
        <v>95</v>
      </c>
      <c r="G26" s="3">
        <v>30</v>
      </c>
      <c r="H26" s="2" t="s">
        <v>96</v>
      </c>
      <c r="I26" s="2" t="s">
        <v>97</v>
      </c>
      <c r="J26" s="3">
        <v>1</v>
      </c>
      <c r="K26" s="4">
        <v>1500</v>
      </c>
      <c r="L26" s="4">
        <v>1500</v>
      </c>
      <c r="M26" s="5">
        <f t="shared" si="0"/>
        <v>1500</v>
      </c>
      <c r="N26" s="6" t="s">
        <v>125</v>
      </c>
      <c r="O26" s="24">
        <v>0.06</v>
      </c>
      <c r="P26" s="5"/>
    </row>
    <row r="27" spans="1:16" ht="15" customHeight="1" x14ac:dyDescent="0.3">
      <c r="A27" s="7" t="s">
        <v>98</v>
      </c>
      <c r="B27" s="7" t="s">
        <v>93</v>
      </c>
      <c r="C27" s="7" t="s">
        <v>0</v>
      </c>
      <c r="D27" s="7" t="s">
        <v>37</v>
      </c>
      <c r="E27" s="7" t="s">
        <v>1</v>
      </c>
      <c r="F27" s="7" t="s">
        <v>99</v>
      </c>
      <c r="G27" s="8">
        <v>30</v>
      </c>
      <c r="H27" s="7" t="s">
        <v>19</v>
      </c>
      <c r="I27" s="7" t="s">
        <v>63</v>
      </c>
      <c r="J27" s="8">
        <v>2</v>
      </c>
      <c r="K27" s="9">
        <v>1200</v>
      </c>
      <c r="L27" s="9">
        <v>1100</v>
      </c>
      <c r="M27" s="10">
        <f t="shared" si="0"/>
        <v>2200</v>
      </c>
      <c r="N27" s="11" t="s">
        <v>126</v>
      </c>
      <c r="P27" s="10"/>
    </row>
    <row r="28" spans="1:16" ht="15" customHeight="1" x14ac:dyDescent="0.3">
      <c r="A28" s="2" t="s">
        <v>100</v>
      </c>
      <c r="B28" s="2" t="s">
        <v>93</v>
      </c>
      <c r="C28" s="2" t="s">
        <v>0</v>
      </c>
      <c r="D28" s="2" t="s">
        <v>37</v>
      </c>
      <c r="E28" s="2" t="s">
        <v>1</v>
      </c>
      <c r="F28" s="2" t="s">
        <v>101</v>
      </c>
      <c r="G28" s="3">
        <v>30</v>
      </c>
      <c r="H28" s="2" t="s">
        <v>34</v>
      </c>
      <c r="I28" s="2" t="s">
        <v>102</v>
      </c>
      <c r="J28" s="3">
        <v>1</v>
      </c>
      <c r="K28" s="4">
        <v>2200</v>
      </c>
      <c r="L28" s="4">
        <v>2200</v>
      </c>
      <c r="M28" s="5">
        <f t="shared" si="0"/>
        <v>2200</v>
      </c>
      <c r="N28" s="6" t="s">
        <v>123</v>
      </c>
      <c r="O28" s="24">
        <v>0.04</v>
      </c>
      <c r="P28" s="5"/>
    </row>
    <row r="29" spans="1:16" ht="15" customHeight="1" x14ac:dyDescent="0.3">
      <c r="A29" s="7" t="s">
        <v>103</v>
      </c>
      <c r="B29" s="7" t="s">
        <v>93</v>
      </c>
      <c r="C29" s="7" t="s">
        <v>0</v>
      </c>
      <c r="D29" s="7" t="s">
        <v>55</v>
      </c>
      <c r="E29" s="7" t="s">
        <v>1</v>
      </c>
      <c r="F29" s="7" t="s">
        <v>56</v>
      </c>
      <c r="G29" s="8">
        <v>60</v>
      </c>
      <c r="H29" s="7" t="s">
        <v>104</v>
      </c>
      <c r="I29" s="7" t="s">
        <v>105</v>
      </c>
      <c r="J29" s="8">
        <v>1</v>
      </c>
      <c r="K29" s="9">
        <v>3500</v>
      </c>
      <c r="L29" s="9">
        <v>4000</v>
      </c>
      <c r="M29" s="10">
        <f t="shared" si="0"/>
        <v>4000</v>
      </c>
      <c r="N29" s="11" t="s">
        <v>126</v>
      </c>
      <c r="O29" s="10"/>
      <c r="P29" s="10"/>
    </row>
    <row r="30" spans="1:16" ht="15" customHeight="1" x14ac:dyDescent="0.3">
      <c r="A30" s="2" t="s">
        <v>106</v>
      </c>
      <c r="B30" s="2" t="s">
        <v>93</v>
      </c>
      <c r="C30" s="2" t="s">
        <v>0</v>
      </c>
      <c r="D30" s="2" t="s">
        <v>55</v>
      </c>
      <c r="E30" s="2" t="s">
        <v>1</v>
      </c>
      <c r="F30" s="2" t="s">
        <v>107</v>
      </c>
      <c r="G30" s="3">
        <v>30</v>
      </c>
      <c r="H30" s="2" t="s">
        <v>19</v>
      </c>
      <c r="I30" s="2" t="s">
        <v>53</v>
      </c>
      <c r="J30" s="3">
        <v>2</v>
      </c>
      <c r="K30" s="4">
        <v>1200</v>
      </c>
      <c r="L30" s="4">
        <v>1200</v>
      </c>
      <c r="M30" s="5">
        <f t="shared" si="0"/>
        <v>2400</v>
      </c>
      <c r="N30" s="11" t="s">
        <v>126</v>
      </c>
      <c r="O30" s="5"/>
      <c r="P30" s="5"/>
    </row>
    <row r="31" spans="1:16" ht="15" customHeight="1" x14ac:dyDescent="0.3">
      <c r="A31" s="7" t="s">
        <v>108</v>
      </c>
      <c r="B31" s="7" t="s">
        <v>93</v>
      </c>
      <c r="C31" s="7" t="s">
        <v>0</v>
      </c>
      <c r="D31" s="7" t="s">
        <v>71</v>
      </c>
      <c r="E31" s="7" t="s">
        <v>1</v>
      </c>
      <c r="F31" s="7" t="s">
        <v>109</v>
      </c>
      <c r="G31" s="8">
        <v>30</v>
      </c>
      <c r="H31" s="7" t="s">
        <v>19</v>
      </c>
      <c r="I31" s="7" t="s">
        <v>97</v>
      </c>
      <c r="J31" s="8">
        <v>2</v>
      </c>
      <c r="K31" s="9">
        <v>1200</v>
      </c>
      <c r="L31" s="9">
        <v>1200</v>
      </c>
      <c r="M31" s="10">
        <f t="shared" si="0"/>
        <v>2400</v>
      </c>
      <c r="N31" s="11" t="s">
        <v>126</v>
      </c>
      <c r="O31" s="10"/>
      <c r="P31" s="10"/>
    </row>
    <row r="32" spans="1:16" ht="15" customHeight="1" x14ac:dyDescent="0.3">
      <c r="A32" s="2" t="s">
        <v>110</v>
      </c>
      <c r="B32" s="2" t="s">
        <v>93</v>
      </c>
      <c r="C32" s="2" t="s">
        <v>0</v>
      </c>
      <c r="D32" s="2" t="s">
        <v>71</v>
      </c>
      <c r="E32" s="2" t="s">
        <v>1</v>
      </c>
      <c r="F32" s="2" t="s">
        <v>111</v>
      </c>
      <c r="G32" s="3">
        <v>30</v>
      </c>
      <c r="H32" s="2" t="s">
        <v>34</v>
      </c>
      <c r="I32" s="2" t="s">
        <v>112</v>
      </c>
      <c r="J32" s="3">
        <v>1</v>
      </c>
      <c r="K32" s="4">
        <v>2200</v>
      </c>
      <c r="L32" s="4">
        <v>2200</v>
      </c>
      <c r="M32" s="5">
        <f t="shared" si="0"/>
        <v>2200</v>
      </c>
      <c r="N32" s="6" t="s">
        <v>125</v>
      </c>
      <c r="O32" s="24">
        <v>0.06</v>
      </c>
      <c r="P32" s="5"/>
    </row>
    <row r="33" spans="1:16" ht="15" customHeight="1" x14ac:dyDescent="0.3">
      <c r="A33" s="7" t="s">
        <v>113</v>
      </c>
      <c r="B33" s="7" t="s">
        <v>93</v>
      </c>
      <c r="C33" s="7" t="s">
        <v>0</v>
      </c>
      <c r="D33" s="7" t="s">
        <v>84</v>
      </c>
      <c r="E33" s="7" t="s">
        <v>1</v>
      </c>
      <c r="F33" s="7" t="s">
        <v>114</v>
      </c>
      <c r="G33" s="8">
        <v>30</v>
      </c>
      <c r="H33" s="7" t="s">
        <v>19</v>
      </c>
      <c r="I33" s="7" t="s">
        <v>20</v>
      </c>
      <c r="J33" s="8">
        <v>2</v>
      </c>
      <c r="K33" s="9">
        <v>1200</v>
      </c>
      <c r="L33" s="9">
        <v>1200</v>
      </c>
      <c r="M33" s="10">
        <f t="shared" si="0"/>
        <v>2400</v>
      </c>
      <c r="N33" s="11" t="s">
        <v>126</v>
      </c>
      <c r="O33" s="10"/>
      <c r="P33" s="10"/>
    </row>
    <row r="34" spans="1:16" ht="15" customHeight="1" x14ac:dyDescent="0.3">
      <c r="A34" s="2" t="s">
        <v>115</v>
      </c>
      <c r="B34" s="2" t="s">
        <v>93</v>
      </c>
      <c r="C34" s="2" t="s">
        <v>0</v>
      </c>
      <c r="D34" s="2" t="s">
        <v>84</v>
      </c>
      <c r="E34" s="2" t="s">
        <v>1</v>
      </c>
      <c r="F34" s="2" t="s">
        <v>116</v>
      </c>
      <c r="G34" s="3">
        <v>30</v>
      </c>
      <c r="H34" s="2" t="s">
        <v>96</v>
      </c>
      <c r="I34" s="2" t="s">
        <v>63</v>
      </c>
      <c r="J34" s="3">
        <v>1</v>
      </c>
      <c r="K34" s="4">
        <v>1500</v>
      </c>
      <c r="L34" s="4">
        <v>1400</v>
      </c>
      <c r="M34" s="5">
        <f t="shared" si="0"/>
        <v>1400</v>
      </c>
      <c r="N34" s="11" t="s">
        <v>126</v>
      </c>
      <c r="O34" s="5"/>
      <c r="P34" s="5"/>
    </row>
    <row r="35" spans="1:16" ht="15" customHeight="1" x14ac:dyDescent="0.3">
      <c r="A35" s="12" t="s">
        <v>117</v>
      </c>
      <c r="B35" s="13"/>
      <c r="C35" s="13"/>
      <c r="D35" s="13"/>
      <c r="E35" s="13"/>
      <c r="F35" s="13"/>
      <c r="G35" s="13"/>
      <c r="H35" s="13"/>
      <c r="I35" s="13"/>
      <c r="J35" s="14">
        <f>SUM(J2:J34)</f>
        <v>51</v>
      </c>
      <c r="K35" s="13"/>
      <c r="L35" s="13"/>
      <c r="M35" s="15">
        <f>SUM(M2:M34)</f>
        <v>216900</v>
      </c>
      <c r="N35" s="13"/>
      <c r="O35" s="15"/>
      <c r="P35" s="15"/>
    </row>
    <row r="36" spans="1:16" ht="15.75" customHeight="1" x14ac:dyDescent="0.3">
      <c r="A36" s="16" t="s">
        <v>118</v>
      </c>
      <c r="B36" s="17"/>
      <c r="C36" s="17"/>
      <c r="D36" s="17"/>
      <c r="E36" s="17"/>
      <c r="F36" s="17"/>
      <c r="G36" s="17"/>
      <c r="H36" s="17"/>
      <c r="I36" s="17"/>
      <c r="J36" s="18">
        <f>J2+J3+J4+J5+J6+J7+J8+J9+J10+J11+J12+J13+J14+J15+J16+J17+J18+J19+J20+J21+J22+J23+J24</f>
        <v>36</v>
      </c>
      <c r="K36" s="17"/>
      <c r="L36" s="17"/>
      <c r="M36" s="19">
        <f>M2+M3+M4+M5+M6+M7+M8+M9+M10+M11+M12+M13+M14+M15+M16+M17+M18+M19+M20+M21+M22+M23+M24</f>
        <v>193800</v>
      </c>
      <c r="N36" s="17"/>
      <c r="O36" s="19"/>
      <c r="P36" s="19"/>
    </row>
    <row r="37" spans="1:16" ht="15" customHeight="1" x14ac:dyDescent="0.3">
      <c r="A37" s="20" t="s">
        <v>119</v>
      </c>
      <c r="B37" s="21"/>
      <c r="C37" s="21"/>
      <c r="D37" s="21"/>
      <c r="E37" s="21"/>
      <c r="F37" s="21"/>
      <c r="G37" s="21"/>
      <c r="H37" s="21"/>
      <c r="I37" s="21"/>
      <c r="J37" s="22">
        <f>J25+J26+J27+J28+J29+J30+J31+J32+J33+J34</f>
        <v>15</v>
      </c>
      <c r="K37" s="21"/>
      <c r="L37" s="21"/>
      <c r="M37" s="23">
        <f>M25+M26+M27+M28+M29+M30+M31+M32+M33+M34</f>
        <v>23100</v>
      </c>
      <c r="N37" s="21"/>
      <c r="O37" s="23"/>
      <c r="P37" s="23"/>
    </row>
  </sheetData>
  <autoFilter ref="A1:O37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CEBC-0A9D-403B-A8FD-E462271D78B3}">
  <dimension ref="B2:E30"/>
  <sheetViews>
    <sheetView tabSelected="1" workbookViewId="0">
      <selection activeCell="K21" sqref="K21"/>
    </sheetView>
  </sheetViews>
  <sheetFormatPr defaultRowHeight="14.4" x14ac:dyDescent="0.3"/>
  <sheetData>
    <row r="2" spans="2:2" x14ac:dyDescent="0.3">
      <c r="B2" t="s">
        <v>127</v>
      </c>
    </row>
    <row r="4" spans="2:2" x14ac:dyDescent="0.3">
      <c r="B4" t="s">
        <v>128</v>
      </c>
    </row>
    <row r="10" spans="2:2" x14ac:dyDescent="0.3">
      <c r="B10" t="s">
        <v>129</v>
      </c>
    </row>
    <row r="11" spans="2:2" x14ac:dyDescent="0.3">
      <c r="B11" t="s">
        <v>130</v>
      </c>
    </row>
    <row r="12" spans="2:2" x14ac:dyDescent="0.3">
      <c r="B12" t="s">
        <v>131</v>
      </c>
    </row>
    <row r="13" spans="2:2" x14ac:dyDescent="0.3">
      <c r="B13" t="s">
        <v>132</v>
      </c>
    </row>
    <row r="17" spans="2:5" x14ac:dyDescent="0.3">
      <c r="B17" t="s">
        <v>133</v>
      </c>
    </row>
    <row r="18" spans="2:5" x14ac:dyDescent="0.3">
      <c r="B18" t="s">
        <v>134</v>
      </c>
    </row>
    <row r="19" spans="2:5" x14ac:dyDescent="0.3">
      <c r="B19" t="s">
        <v>135</v>
      </c>
    </row>
    <row r="20" spans="2:5" x14ac:dyDescent="0.3">
      <c r="B20" t="s">
        <v>136</v>
      </c>
    </row>
    <row r="21" spans="2:5" x14ac:dyDescent="0.3">
      <c r="B21" t="s">
        <v>137</v>
      </c>
    </row>
    <row r="23" spans="2:5" x14ac:dyDescent="0.3">
      <c r="B23" t="s">
        <v>127</v>
      </c>
    </row>
    <row r="26" spans="2:5" x14ac:dyDescent="0.3">
      <c r="E26" t="s">
        <v>138</v>
      </c>
    </row>
    <row r="27" spans="2:5" x14ac:dyDescent="0.3">
      <c r="E27" t="s">
        <v>139</v>
      </c>
    </row>
    <row r="28" spans="2:5" x14ac:dyDescent="0.3">
      <c r="E28" t="s">
        <v>140</v>
      </c>
    </row>
    <row r="29" spans="2:5" x14ac:dyDescent="0.3">
      <c r="E29" t="s">
        <v>141</v>
      </c>
    </row>
    <row r="30" spans="2:5" x14ac:dyDescent="0.3">
      <c r="E3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Broadcast Ad Sales 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Pratibha Vishwakarma</cp:lastModifiedBy>
  <cp:revision>0</cp:revision>
  <dcterms:created xsi:type="dcterms:W3CDTF">2026-07-08T13:24:47Z</dcterms:created>
  <dcterms:modified xsi:type="dcterms:W3CDTF">2026-07-20T15:50:58Z</dcterms:modified>
  <dc:language>en-US</dc:language>
</cp:coreProperties>
</file>