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ratibha179979\Downloads\"/>
    </mc:Choice>
  </mc:AlternateContent>
  <xr:revisionPtr revIDLastSave="0" documentId="13_ncr:1_{F031E765-389C-4AA6-AD00-6203CF49E88E}" xr6:coauthVersionLast="47" xr6:coauthVersionMax="47" xr10:uidLastSave="{00000000-0000-0000-0000-000000000000}"/>
  <bookViews>
    <workbookView xWindow="-108" yWindow="-108" windowWidth="23256" windowHeight="12456" xr2:uid="{F788BD7B-E192-426A-9FCD-FCACAD3CB99C}"/>
  </bookViews>
  <sheets>
    <sheet name="Multi-party" sheetId="1" r:id="rId1"/>
    <sheet name="Broadcasting Rights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" i="4" l="1"/>
  <c r="C50" i="4"/>
  <c r="C51" i="4"/>
  <c r="B36" i="4"/>
  <c r="B37" i="4"/>
  <c r="B39" i="4" s="1"/>
  <c r="B41" i="4" s="1"/>
  <c r="B45" i="4" s="1"/>
  <c r="B38" i="4"/>
  <c r="B40" i="4"/>
  <c r="B42" i="4"/>
  <c r="B43" i="4"/>
  <c r="B44" i="4"/>
  <c r="F29" i="4"/>
  <c r="F30" i="4"/>
  <c r="F31" i="4"/>
  <c r="F32" i="4"/>
  <c r="B33" i="4"/>
  <c r="C33" i="4"/>
  <c r="D33" i="4"/>
  <c r="E33" i="4"/>
  <c r="F33" i="4"/>
  <c r="B20" i="4"/>
  <c r="D44" i="1"/>
  <c r="D47" i="1"/>
  <c r="D46" i="1"/>
  <c r="D45" i="1"/>
  <c r="B40" i="1"/>
  <c r="B39" i="1"/>
  <c r="F32" i="1"/>
  <c r="B35" i="1" s="1"/>
  <c r="E32" i="1"/>
  <c r="D32" i="1"/>
  <c r="C32" i="1"/>
  <c r="B32" i="1"/>
  <c r="F31" i="1"/>
  <c r="F30" i="1"/>
  <c r="F29" i="1"/>
  <c r="F28" i="1"/>
  <c r="B36" i="1" l="1"/>
  <c r="B38" i="1" s="1"/>
  <c r="D48" i="1" l="1"/>
</calcChain>
</file>

<file path=xl/sharedStrings.xml><?xml version="1.0" encoding="utf-8"?>
<sst xmlns="http://schemas.openxmlformats.org/spreadsheetml/2006/main" count="213" uniqueCount="168">
  <si>
    <t>MULTI-PARTY ADVERTISING CONTRACT (USD)</t>
  </si>
  <si>
    <t>Currency: USD</t>
  </si>
  <si>
    <t>CONTRACT TERMS</t>
  </si>
  <si>
    <t>Contract ID</t>
  </si>
  <si>
    <t>CTR-ADV-2026-001</t>
  </si>
  <si>
    <t>Contract Type</t>
  </si>
  <si>
    <t>Stadium &amp; Digital Advertising</t>
  </si>
  <si>
    <t>Execution Date</t>
  </si>
  <si>
    <t>Start Date</t>
  </si>
  <si>
    <t>End Date</t>
  </si>
  <si>
    <t>Advertiser (Vendor)</t>
  </si>
  <si>
    <t>SkyView Media Partners</t>
  </si>
  <si>
    <t>Vendor ID</t>
  </si>
  <si>
    <t>PTNR-ADV-001</t>
  </si>
  <si>
    <t>Club</t>
  </si>
  <si>
    <t>Thunder FC</t>
  </si>
  <si>
    <t>Player 1</t>
  </si>
  <si>
    <t>Marcus Johnson (#10)</t>
  </si>
  <si>
    <t>Player 2</t>
  </si>
  <si>
    <t>Diego Santos (#7)</t>
  </si>
  <si>
    <t>Currency</t>
  </si>
  <si>
    <t>USD (US Dollars)</t>
  </si>
  <si>
    <t>REVENUE SHARE STRUCTURE</t>
  </si>
  <si>
    <t>Club Revenue Share % (of Net Revenue)</t>
  </si>
  <si>
    <t>Minimum Guarantee (MG)</t>
  </si>
  <si>
    <t>MG Terms</t>
  </si>
  <si>
    <t>Recoupable</t>
  </si>
  <si>
    <t>Player Share Eligible</t>
  </si>
  <si>
    <t>YES</t>
  </si>
  <si>
    <t>Player 1 Revenue Share % (of Net Revenue)</t>
  </si>
  <si>
    <t>Player 2 Revenue Share % (of Net Revenue)</t>
  </si>
  <si>
    <t>Settlement Frequency</t>
  </si>
  <si>
    <t>Quarterly</t>
  </si>
  <si>
    <t>Reporting Frequency</t>
  </si>
  <si>
    <t>Monthly</t>
  </si>
  <si>
    <t>Contract Value Basis</t>
  </si>
  <si>
    <t>Gross Advertising Revenue</t>
  </si>
  <si>
    <t>Ad Placement</t>
  </si>
  <si>
    <t>Impressions</t>
  </si>
  <si>
    <t>Gross Revenue (USD)</t>
  </si>
  <si>
    <t>Agency Fees (USD)</t>
  </si>
  <si>
    <t>Platform Costs (USD)</t>
  </si>
  <si>
    <t>Net Revenue (USD)</t>
  </si>
  <si>
    <t>LED Perimeter Boards</t>
  </si>
  <si>
    <t>Digital Scoreboard Ads</t>
  </si>
  <si>
    <t>Social Media Campaigns</t>
  </si>
  <si>
    <t>Video Stream Pre-Roll</t>
  </si>
  <si>
    <t>TOTAL</t>
  </si>
  <si>
    <t>REVENUE SHARE CALCULATIONS</t>
  </si>
  <si>
    <t>Total Net Advertising Revenue</t>
  </si>
  <si>
    <t>Club's Share (15% of Net Revenue)</t>
  </si>
  <si>
    <t>Club's Final Share (MAX of 15% vs MG)</t>
  </si>
  <si>
    <t>Player 1 Share (Marcus Johnson - 6% of Net Revenue)</t>
  </si>
  <si>
    <t>Player 2 Share (Diego Santos - 4% of Net Revenue)</t>
  </si>
  <si>
    <t>FOUR-PARTY PAYOUT SUMMARY</t>
  </si>
  <si>
    <t>Party</t>
  </si>
  <si>
    <t>Role</t>
  </si>
  <si>
    <t>Revenue Share %</t>
  </si>
  <si>
    <t>Amount Due (USD)</t>
  </si>
  <si>
    <t>Notes</t>
  </si>
  <si>
    <t>Retains after all shares paid</t>
  </si>
  <si>
    <t>15% of Net Revenue (full share)</t>
  </si>
  <si>
    <t>Marcus Johnson</t>
  </si>
  <si>
    <t>6% of Net Revenue (direct)</t>
  </si>
  <si>
    <t>Diego Santos</t>
  </si>
  <si>
    <t>4% of Net Revenue (direct)</t>
  </si>
  <si>
    <t>TOTAL DISTRIBUTED</t>
  </si>
  <si>
    <t>Should equal Total Net Revenue</t>
  </si>
  <si>
    <t>CALCULATION LOGIC REFERENCE</t>
  </si>
  <si>
    <t>Step 1: Net Revenue</t>
  </si>
  <si>
    <t>Gross Revenue - Agency Fees - Platform Costs</t>
  </si>
  <si>
    <t>Step 2: Club Gross Share</t>
  </si>
  <si>
    <t>Net Revenue x 15 percent</t>
  </si>
  <si>
    <t>Step 3: Apply MG Logic</t>
  </si>
  <si>
    <t>MAX of Club Gross Share vs MG</t>
  </si>
  <si>
    <t>Step 4: Player 1 Share</t>
  </si>
  <si>
    <t>Net Revenue x 6 percent (direct)</t>
  </si>
  <si>
    <t>Step 5: Player 2 Share</t>
  </si>
  <si>
    <t>Net Revenue x 4 percent (direct)</t>
  </si>
  <si>
    <t>Step 6: Club Net Payout</t>
  </si>
  <si>
    <t>Club Final Share (full amount, no player deduction)</t>
  </si>
  <si>
    <t>Step 7: Vendor Retains</t>
  </si>
  <si>
    <t>Total Net Revenue - Club Share - Player 1 - Player 2</t>
  </si>
  <si>
    <t>TWO-PARTY BROADCASTING RIGHTS CONTRACT (USD)</t>
  </si>
  <si>
    <t>CTR-BRD-2026-001</t>
  </si>
  <si>
    <t>Broadcasting Rights Agreement</t>
  </si>
  <si>
    <t>Licensor (Rights Holder)</t>
  </si>
  <si>
    <t>Licensor ID</t>
  </si>
  <si>
    <t>CLB-TFC-001</t>
  </si>
  <si>
    <t>Licensee (Broadcaster)</t>
  </si>
  <si>
    <t>Global Sports Network (GSN)</t>
  </si>
  <si>
    <t>Licensee ID</t>
  </si>
  <si>
    <t>BRD-GSN-001</t>
  </si>
  <si>
    <t>Territory</t>
  </si>
  <si>
    <t>North America &amp; Europe</t>
  </si>
  <si>
    <t>Rights Granted</t>
  </si>
  <si>
    <t>Live Match Broadcasting, Highlights, Replays</t>
  </si>
  <si>
    <t>FINANCIAL TERMS</t>
  </si>
  <si>
    <t>Rights Fee (Annual)</t>
  </si>
  <si>
    <t>Contract Duration (Years)</t>
  </si>
  <si>
    <t>Total Contract Value</t>
  </si>
  <si>
    <t>Payment Schedule</t>
  </si>
  <si>
    <t>Semi-Annual</t>
  </si>
  <si>
    <t>Revenue Share (% of Broadcaster's Ad Revenue)</t>
  </si>
  <si>
    <t>Minimum Guarantee per Year</t>
  </si>
  <si>
    <t>Performance Bonus Threshold (Viewership)</t>
  </si>
  <si>
    <t>Performance Bonus Amount</t>
  </si>
  <si>
    <t>BROADCASTING REVENUE DATA (YEAR 1)</t>
  </si>
  <si>
    <t>Revenue Stream</t>
  </si>
  <si>
    <t>Viewership</t>
  </si>
  <si>
    <t>Production Costs (USD)</t>
  </si>
  <si>
    <t>Distribution Costs (USD)</t>
  </si>
  <si>
    <t>Live Match Broadcasts</t>
  </si>
  <si>
    <t>Match Highlights</t>
  </si>
  <si>
    <t>Replays &amp; On-Demand</t>
  </si>
  <si>
    <t>Special Features &amp; Interviews</t>
  </si>
  <si>
    <t>Broadcaster's Net Revenue (Year 1)</t>
  </si>
  <si>
    <t>Rights Fee Paid to Licensor/Club</t>
  </si>
  <si>
    <t>Revenue Share to Licensor (12% of Net Revenue)</t>
  </si>
  <si>
    <t>Total Licensor Earnings (Rights Fee + Rev Share)</t>
  </si>
  <si>
    <t>Minimum Guarantee</t>
  </si>
  <si>
    <t>Licensor Final Payout (MAX of Total vs MG)</t>
  </si>
  <si>
    <t>Total Viewership (Year 1)</t>
  </si>
  <si>
    <t>Performance Bonus Eligible?</t>
  </si>
  <si>
    <t>GRAND TOTAL TO LICENSOR</t>
  </si>
  <si>
    <t>TWO-PARTY PAYOUT SUMMARY</t>
  </si>
  <si>
    <t>Rights Fee + Revenue Share + Bonus</t>
  </si>
  <si>
    <t>Net Revenue after Licensor payout</t>
  </si>
  <si>
    <t>Gross Revenue - Production Costs - Distribution Costs</t>
  </si>
  <si>
    <t>Step 2: Rights Fee</t>
  </si>
  <si>
    <t>Fixed annual fee paid by Broadcaster to Licensor</t>
  </si>
  <si>
    <t>Step 3: Revenue Share</t>
  </si>
  <si>
    <t>Net Revenue × 12% (additional to rights fee)</t>
  </si>
  <si>
    <t>Step 4: Apply MG Logic</t>
  </si>
  <si>
    <t>MAX of (Rights Fee + Rev Share) vs Minimum Guarantee</t>
  </si>
  <si>
    <t>Step 5: Performance Bonus</t>
  </si>
  <si>
    <t>If Total Viewership &gt;= Threshold, add Bonus Amount</t>
  </si>
  <si>
    <t>Step 6: Licensor Total</t>
  </si>
  <si>
    <t>Final Payout + Performance Bonus</t>
  </si>
  <si>
    <t>Step 7: Broadcaster Retains</t>
  </si>
  <si>
    <t>Net Revenue - Licensor Total Payout</t>
  </si>
  <si>
    <t>Revenue share type</t>
  </si>
  <si>
    <t>Club line</t>
  </si>
  <si>
    <t>Term</t>
  </si>
  <si>
    <t>Contract type</t>
  </si>
  <si>
    <t>Multi-Party Advertisement Contract</t>
  </si>
  <si>
    <t>Metropolis Meteors</t>
  </si>
  <si>
    <t>Talents contracts data table</t>
  </si>
  <si>
    <t>Talent 1</t>
  </si>
  <si>
    <t>talent 2</t>
  </si>
  <si>
    <t>Talent revenue share %</t>
  </si>
  <si>
    <t>01-01-2026 → 31-12-2026</t>
  </si>
  <si>
    <t>100 -20 club</t>
  </si>
  <si>
    <t>100-10 talent</t>
  </si>
  <si>
    <t>retain- 100-20-10=70</t>
  </si>
  <si>
    <r>
      <t>Club revenue share %:</t>
    </r>
    <r>
      <rPr>
        <sz val="12"/>
        <color rgb="FF334155"/>
        <rFont val="Arial"/>
        <family val="2"/>
      </rPr>
      <t> 12</t>
    </r>
    <r>
      <rPr>
        <sz val="12"/>
        <color rgb="FF0F172A"/>
        <rFont val="Consolas"/>
        <family val="3"/>
      </rPr>
      <t>%</t>
    </r>
  </si>
  <si>
    <t>Partner</t>
  </si>
  <si>
    <t>Vendor</t>
  </si>
  <si>
    <r>
      <t>Club revenue share %:</t>
    </r>
    <r>
      <rPr>
        <sz val="12"/>
        <color rgb="FF334155"/>
        <rFont val="Arial"/>
        <family val="2"/>
      </rPr>
      <t> 15</t>
    </r>
    <r>
      <rPr>
        <sz val="12"/>
        <color rgb="FF0F172A"/>
        <rFont val="Consolas"/>
        <family val="3"/>
      </rPr>
      <t>%</t>
    </r>
  </si>
  <si>
    <r>
      <t>Talent share eligibility:</t>
    </r>
    <r>
      <rPr>
        <sz val="12"/>
        <color rgb="FF1F2937"/>
        <rFont val="Arial"/>
        <family val="2"/>
      </rPr>
      <t> </t>
    </r>
    <r>
      <rPr>
        <sz val="12"/>
        <color rgb="FF064E3B"/>
        <rFont val="Arial"/>
        <family val="2"/>
      </rPr>
      <t>Yes</t>
    </r>
  </si>
  <si>
    <t>payment till club similar to fixed contract invoice generation.</t>
  </si>
  <si>
    <t>01-04-2026 → 31-03-2027</t>
  </si>
  <si>
    <t>vendor listing</t>
  </si>
  <si>
    <t xml:space="preserve">ADVERTISING REVENUE DATA </t>
  </si>
  <si>
    <t xml:space="preserve">vendor listing - ADVERTISING REVENUE DATA </t>
  </si>
  <si>
    <t xml:space="preserve">BROADCASTING REVENUE DATA </t>
  </si>
  <si>
    <t xml:space="preserve">payment frequency </t>
  </si>
  <si>
    <t>semi -annualy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</si>
</sst>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&quot;₹&quot;#,##0.00"/>
  </numFmts>
  <fonts count="1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2"/>
      <color rgb="FF64748B"/>
      <name val="Arial"/>
      <family val="2"/>
    </font>
    <font>
      <sz val="12"/>
      <color rgb="FF334155"/>
      <name val="Arial"/>
      <family val="2"/>
    </font>
    <font>
      <sz val="12"/>
      <color rgb="FF0F172A"/>
      <name val="Consolas"/>
      <family val="3"/>
    </font>
    <font>
      <sz val="12"/>
      <color rgb="FF1F2937"/>
      <name val="Arial"/>
      <family val="2"/>
    </font>
    <font>
      <sz val="12"/>
      <color rgb="FF0F172A"/>
      <name val="Arial"/>
      <family val="2"/>
    </font>
    <font>
      <sz val="12"/>
      <color rgb="FF1E293B"/>
      <name val="Consolas"/>
      <family val="3"/>
    </font>
    <font>
      <sz val="18"/>
      <color theme="1"/>
      <name val="Aptos Narrow"/>
      <family val="2"/>
      <scheme val="minor"/>
    </font>
    <font>
      <sz val="12"/>
      <color rgb="FF64748B"/>
      <name val="Arial"/>
      <family val="2"/>
    </font>
    <font>
      <sz val="12"/>
      <color rgb="FF0F172A"/>
      <name val="Consolas"/>
      <family val="3"/>
    </font>
    <font>
      <sz val="12"/>
      <color rgb="FF064E3B"/>
      <name val="Arial"/>
      <family val="2"/>
    </font>
    <font>
      <sz val="12"/>
      <color rgb="FF0F172A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2D5F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BE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4" borderId="0" xfId="0" applyFont="1" applyFill="1"/>
    <xf numFmtId="15" fontId="0" fillId="0" borderId="0" xfId="0" applyNumberFormat="1"/>
    <xf numFmtId="9" fontId="0" fillId="0" borderId="0" xfId="0" applyNumberFormat="1"/>
    <xf numFmtId="164" fontId="0" fillId="0" borderId="0" xfId="0" applyNumberFormat="1"/>
    <xf numFmtId="0" fontId="1" fillId="5" borderId="1" xfId="0" applyFont="1" applyFill="1" applyBorder="1"/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  <xf numFmtId="0" fontId="1" fillId="6" borderId="1" xfId="0" applyFont="1" applyFill="1" applyBorder="1"/>
    <xf numFmtId="3" fontId="1" fillId="6" borderId="1" xfId="0" applyNumberFormat="1" applyFont="1" applyFill="1" applyBorder="1"/>
    <xf numFmtId="164" fontId="1" fillId="6" borderId="1" xfId="0" applyNumberFormat="1" applyFont="1" applyFill="1" applyBorder="1"/>
    <xf numFmtId="9" fontId="0" fillId="0" borderId="1" xfId="0" applyNumberFormat="1" applyBorder="1"/>
    <xf numFmtId="0" fontId="3" fillId="7" borderId="1" xfId="0" applyFont="1" applyFill="1" applyBorder="1"/>
    <xf numFmtId="164" fontId="3" fillId="7" borderId="1" xfId="0" applyNumberFormat="1" applyFont="1" applyFill="1" applyBorder="1"/>
    <xf numFmtId="0" fontId="1" fillId="9" borderId="0" xfId="0" applyFont="1" applyFill="1"/>
    <xf numFmtId="0" fontId="5" fillId="0" borderId="0" xfId="0" applyFont="1"/>
    <xf numFmtId="165" fontId="0" fillId="0" borderId="0" xfId="0" applyNumberFormat="1"/>
    <xf numFmtId="3" fontId="0" fillId="0" borderId="0" xfId="0" applyNumberFormat="1"/>
    <xf numFmtId="0" fontId="1" fillId="5" borderId="0" xfId="0" applyFont="1" applyFill="1"/>
    <xf numFmtId="0" fontId="1" fillId="10" borderId="0" xfId="0" applyFont="1" applyFill="1"/>
    <xf numFmtId="3" fontId="1" fillId="10" borderId="0" xfId="0" applyNumberFormat="1" applyFont="1" applyFill="1"/>
    <xf numFmtId="165" fontId="1" fillId="10" borderId="0" xfId="0" applyNumberFormat="1" applyFont="1" applyFill="1"/>
    <xf numFmtId="0" fontId="1" fillId="11" borderId="0" xfId="0" applyFont="1" applyFill="1"/>
    <xf numFmtId="165" fontId="1" fillId="11" borderId="0" xfId="0" applyNumberFormat="1" applyFont="1" applyFill="1"/>
    <xf numFmtId="0" fontId="1" fillId="12" borderId="0" xfId="0" applyFont="1" applyFill="1"/>
    <xf numFmtId="0" fontId="0" fillId="13" borderId="0" xfId="0" applyFill="1"/>
    <xf numFmtId="0" fontId="3" fillId="8" borderId="0" xfId="0" applyFont="1" applyFill="1"/>
    <xf numFmtId="0" fontId="2" fillId="2" borderId="0" xfId="0" applyFont="1" applyFill="1" applyAlignment="1">
      <alignment horizontal="center"/>
    </xf>
    <xf numFmtId="0" fontId="3" fillId="3" borderId="0" xfId="0" applyFont="1" applyFill="1"/>
    <xf numFmtId="0" fontId="0" fillId="0" borderId="0" xfId="0"/>
    <xf numFmtId="0" fontId="1" fillId="4" borderId="0" xfId="0" applyFont="1" applyFill="1"/>
    <xf numFmtId="0" fontId="6" fillId="3" borderId="0" xfId="0" applyFont="1" applyFill="1"/>
    <xf numFmtId="0" fontId="4" fillId="3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applyBorder="1"/>
    <xf numFmtId="0" fontId="13" fillId="0" borderId="1" xfId="0" applyFont="1" applyBorder="1"/>
    <xf numFmtId="0" fontId="7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0" fillId="0" borderId="1" xfId="0" applyFont="1" applyBorder="1"/>
    <xf numFmtId="0" fontId="14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3" fontId="0" fillId="0" borderId="1" xfId="0" applyNumberFormat="1" applyFont="1" applyBorder="1"/>
    <xf numFmtId="9" fontId="0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128FA-9A5F-4F6B-87CC-DD126E0264FB}">
  <dimension ref="A1:N63"/>
  <sheetViews>
    <sheetView tabSelected="1" zoomScale="70" zoomScaleNormal="70" workbookViewId="0">
      <selection activeCell="K4" sqref="K4"/>
    </sheetView>
  </sheetViews>
  <sheetFormatPr defaultRowHeight="14.4" x14ac:dyDescent="0.3"/>
  <cols>
    <col min="1" max="1" width="39.33203125" bestFit="1" customWidth="1"/>
    <col min="2" max="2" width="39.109375" bestFit="1" customWidth="1"/>
    <col min="3" max="3" width="15.109375" bestFit="1" customWidth="1"/>
    <col min="4" max="4" width="11.44140625" bestFit="1" customWidth="1"/>
    <col min="5" max="5" width="27.88671875" bestFit="1" customWidth="1"/>
    <col min="6" max="6" width="18.109375" bestFit="1" customWidth="1"/>
    <col min="8" max="8" width="8.21875" customWidth="1"/>
    <col min="9" max="9" width="6.21875" customWidth="1"/>
    <col min="10" max="10" width="18.77734375" customWidth="1"/>
    <col min="11" max="11" width="35.5546875" customWidth="1"/>
    <col min="12" max="12" width="28.44140625" customWidth="1"/>
  </cols>
  <sheetData>
    <row r="1" spans="1:14" ht="21" x14ac:dyDescent="0.4">
      <c r="A1" s="28" t="s">
        <v>0</v>
      </c>
      <c r="B1" s="28"/>
      <c r="C1" s="28"/>
      <c r="D1" s="28"/>
      <c r="E1" s="28"/>
      <c r="F1" s="28"/>
      <c r="N1" t="s">
        <v>1</v>
      </c>
    </row>
    <row r="3" spans="1:14" x14ac:dyDescent="0.3">
      <c r="A3" s="29" t="s">
        <v>2</v>
      </c>
      <c r="B3" s="30"/>
      <c r="C3" s="30"/>
      <c r="D3" s="30"/>
      <c r="E3" s="30"/>
      <c r="F3" s="30"/>
    </row>
    <row r="4" spans="1:14" x14ac:dyDescent="0.3">
      <c r="A4" s="1" t="s">
        <v>3</v>
      </c>
      <c r="B4" t="s">
        <v>4</v>
      </c>
    </row>
    <row r="5" spans="1:14" x14ac:dyDescent="0.3">
      <c r="A5" s="1" t="s">
        <v>5</v>
      </c>
      <c r="B5" t="s">
        <v>6</v>
      </c>
    </row>
    <row r="6" spans="1:14" x14ac:dyDescent="0.3">
      <c r="A6" s="1" t="s">
        <v>7</v>
      </c>
      <c r="B6" s="2">
        <v>46127</v>
      </c>
    </row>
    <row r="7" spans="1:14" x14ac:dyDescent="0.3">
      <c r="A7" s="1" t="s">
        <v>8</v>
      </c>
      <c r="B7" s="2">
        <v>46143</v>
      </c>
    </row>
    <row r="8" spans="1:14" x14ac:dyDescent="0.3">
      <c r="A8" s="1" t="s">
        <v>9</v>
      </c>
      <c r="B8" s="2">
        <v>46507</v>
      </c>
    </row>
    <row r="9" spans="1:14" ht="23.4" x14ac:dyDescent="0.45">
      <c r="A9" s="1" t="s">
        <v>10</v>
      </c>
      <c r="B9" t="s">
        <v>11</v>
      </c>
      <c r="J9" s="6"/>
      <c r="K9" s="36" t="s">
        <v>145</v>
      </c>
      <c r="L9" s="6" t="s">
        <v>157</v>
      </c>
    </row>
    <row r="10" spans="1:14" x14ac:dyDescent="0.3">
      <c r="A10" s="1" t="s">
        <v>12</v>
      </c>
      <c r="B10" t="s">
        <v>13</v>
      </c>
      <c r="J10" s="40"/>
      <c r="K10" s="40"/>
      <c r="L10" s="40"/>
    </row>
    <row r="11" spans="1:14" ht="15" x14ac:dyDescent="0.3">
      <c r="A11" s="1" t="s">
        <v>14</v>
      </c>
      <c r="B11" t="s">
        <v>15</v>
      </c>
      <c r="J11" s="41" t="s">
        <v>144</v>
      </c>
      <c r="K11" s="41" t="s">
        <v>141</v>
      </c>
      <c r="L11" s="40" t="s">
        <v>145</v>
      </c>
    </row>
    <row r="12" spans="1:14" ht="15.6" x14ac:dyDescent="0.3">
      <c r="A12" s="1" t="s">
        <v>16</v>
      </c>
      <c r="B12" t="s">
        <v>17</v>
      </c>
      <c r="J12" s="40"/>
      <c r="K12" s="41" t="s">
        <v>158</v>
      </c>
      <c r="L12" s="40"/>
    </row>
    <row r="13" spans="1:14" ht="15" x14ac:dyDescent="0.3">
      <c r="A13" s="1" t="s">
        <v>18</v>
      </c>
      <c r="B13" t="s">
        <v>19</v>
      </c>
      <c r="J13" s="40"/>
      <c r="K13" s="41" t="s">
        <v>159</v>
      </c>
      <c r="L13" s="40"/>
    </row>
    <row r="14" spans="1:14" ht="15" x14ac:dyDescent="0.3">
      <c r="A14" s="1" t="s">
        <v>20</v>
      </c>
      <c r="B14" t="s">
        <v>21</v>
      </c>
      <c r="J14" s="40"/>
      <c r="K14" s="41" t="s">
        <v>142</v>
      </c>
      <c r="L14" s="42" t="s">
        <v>146</v>
      </c>
    </row>
    <row r="15" spans="1:14" ht="15" x14ac:dyDescent="0.3">
      <c r="A15" s="29" t="s">
        <v>22</v>
      </c>
      <c r="B15" s="31"/>
      <c r="C15" s="31"/>
      <c r="D15" s="31"/>
      <c r="E15" s="31"/>
      <c r="F15" s="31"/>
      <c r="J15" s="40"/>
      <c r="K15" s="41" t="s">
        <v>143</v>
      </c>
      <c r="L15" s="40"/>
    </row>
    <row r="16" spans="1:14" ht="15.6" x14ac:dyDescent="0.3">
      <c r="A16" s="1" t="s">
        <v>23</v>
      </c>
      <c r="B16" s="3">
        <v>0.15</v>
      </c>
      <c r="J16" s="40"/>
      <c r="K16" s="39" t="s">
        <v>151</v>
      </c>
      <c r="L16" s="40"/>
    </row>
    <row r="17" spans="1:12" x14ac:dyDescent="0.3">
      <c r="A17" s="1" t="s">
        <v>24</v>
      </c>
      <c r="B17" s="4">
        <v>50000</v>
      </c>
      <c r="J17" s="40"/>
      <c r="K17" s="40"/>
      <c r="L17" s="40"/>
    </row>
    <row r="18" spans="1:12" x14ac:dyDescent="0.3">
      <c r="A18" s="1" t="s">
        <v>25</v>
      </c>
      <c r="B18" t="s">
        <v>26</v>
      </c>
      <c r="J18" s="40"/>
      <c r="K18" s="40" t="s">
        <v>24</v>
      </c>
      <c r="L18" s="43">
        <v>50000</v>
      </c>
    </row>
    <row r="19" spans="1:12" x14ac:dyDescent="0.3">
      <c r="A19" s="1" t="s">
        <v>27</v>
      </c>
      <c r="B19" t="s">
        <v>28</v>
      </c>
      <c r="J19" s="40"/>
      <c r="K19" s="40"/>
      <c r="L19" s="40"/>
    </row>
    <row r="20" spans="1:12" x14ac:dyDescent="0.3">
      <c r="A20" s="1" t="s">
        <v>29</v>
      </c>
      <c r="B20" s="3">
        <v>0.06</v>
      </c>
      <c r="J20" s="40"/>
      <c r="K20" s="40" t="s">
        <v>147</v>
      </c>
      <c r="L20" s="40" t="s">
        <v>150</v>
      </c>
    </row>
    <row r="21" spans="1:12" x14ac:dyDescent="0.3">
      <c r="A21" s="1" t="s">
        <v>30</v>
      </c>
      <c r="B21" s="3">
        <v>0.04</v>
      </c>
      <c r="J21" s="40"/>
      <c r="K21" s="40" t="s">
        <v>148</v>
      </c>
      <c r="L21" s="44">
        <v>0.06</v>
      </c>
    </row>
    <row r="22" spans="1:12" x14ac:dyDescent="0.3">
      <c r="A22" s="1" t="s">
        <v>31</v>
      </c>
      <c r="B22" t="s">
        <v>32</v>
      </c>
      <c r="J22" s="40"/>
      <c r="K22" s="40" t="s">
        <v>149</v>
      </c>
      <c r="L22" s="44">
        <v>0.04</v>
      </c>
    </row>
    <row r="23" spans="1:12" x14ac:dyDescent="0.3">
      <c r="A23" s="1" t="s">
        <v>33</v>
      </c>
      <c r="B23" t="s">
        <v>34</v>
      </c>
    </row>
    <row r="24" spans="1:12" x14ac:dyDescent="0.3">
      <c r="A24" s="1" t="s">
        <v>35</v>
      </c>
      <c r="B24" t="s">
        <v>36</v>
      </c>
    </row>
    <row r="26" spans="1:12" x14ac:dyDescent="0.3">
      <c r="A26" s="29" t="s">
        <v>163</v>
      </c>
      <c r="B26" s="31"/>
      <c r="C26" s="31"/>
      <c r="D26" s="31"/>
      <c r="E26" s="31"/>
      <c r="F26" s="31"/>
    </row>
    <row r="27" spans="1:12" x14ac:dyDescent="0.3">
      <c r="A27" s="5" t="s">
        <v>37</v>
      </c>
      <c r="B27" s="5" t="s">
        <v>38</v>
      </c>
      <c r="C27" s="5" t="s">
        <v>39</v>
      </c>
      <c r="D27" s="5" t="s">
        <v>40</v>
      </c>
      <c r="E27" s="5" t="s">
        <v>41</v>
      </c>
      <c r="F27" s="5" t="s">
        <v>42</v>
      </c>
      <c r="J27" t="s">
        <v>164</v>
      </c>
    </row>
    <row r="28" spans="1:12" x14ac:dyDescent="0.3">
      <c r="A28" s="6" t="s">
        <v>43</v>
      </c>
      <c r="B28" s="7">
        <v>2500000</v>
      </c>
      <c r="C28" s="8">
        <v>180000</v>
      </c>
      <c r="D28" s="8">
        <v>12000</v>
      </c>
      <c r="E28" s="8">
        <v>8000</v>
      </c>
      <c r="F28" s="8">
        <f>C28-D28-E28</f>
        <v>160000</v>
      </c>
    </row>
    <row r="29" spans="1:12" x14ac:dyDescent="0.3">
      <c r="A29" s="6" t="s">
        <v>44</v>
      </c>
      <c r="B29" s="7">
        <v>1800000</v>
      </c>
      <c r="C29" s="8">
        <v>120000</v>
      </c>
      <c r="D29" s="8">
        <v>8000</v>
      </c>
      <c r="E29" s="8">
        <v>5000</v>
      </c>
      <c r="F29" s="8">
        <f>C29-D29-E29</f>
        <v>107000</v>
      </c>
    </row>
    <row r="30" spans="1:12" x14ac:dyDescent="0.3">
      <c r="A30" s="6" t="s">
        <v>45</v>
      </c>
      <c r="B30" s="7">
        <v>5000000</v>
      </c>
      <c r="C30" s="8">
        <v>95000</v>
      </c>
      <c r="D30" s="8">
        <v>6000</v>
      </c>
      <c r="E30" s="8">
        <v>4000</v>
      </c>
      <c r="F30" s="8">
        <f>C30-D30-E30</f>
        <v>85000</v>
      </c>
    </row>
    <row r="31" spans="1:12" x14ac:dyDescent="0.3">
      <c r="A31" s="6" t="s">
        <v>46</v>
      </c>
      <c r="B31" s="7">
        <v>3200000</v>
      </c>
      <c r="C31" s="8">
        <v>85000</v>
      </c>
      <c r="D31" s="8">
        <v>5500</v>
      </c>
      <c r="E31" s="8">
        <v>3500</v>
      </c>
      <c r="F31" s="8">
        <f>C31-D31-E31</f>
        <v>76000</v>
      </c>
    </row>
    <row r="32" spans="1:12" x14ac:dyDescent="0.3">
      <c r="A32" s="9" t="s">
        <v>47</v>
      </c>
      <c r="B32" s="10">
        <f>SUM(B28:B31)</f>
        <v>12500000</v>
      </c>
      <c r="C32" s="11">
        <f>SUM(C28:C31)</f>
        <v>480000</v>
      </c>
      <c r="D32" s="11">
        <f>SUM(D28:D31)</f>
        <v>31500</v>
      </c>
      <c r="E32" s="11">
        <f>SUM(E28:E31)</f>
        <v>20500</v>
      </c>
      <c r="F32" s="11">
        <f>SUM(F28:F31)</f>
        <v>428000</v>
      </c>
    </row>
    <row r="34" spans="1:6" x14ac:dyDescent="0.3">
      <c r="A34" s="29" t="s">
        <v>48</v>
      </c>
      <c r="B34" s="30"/>
      <c r="C34" s="30"/>
      <c r="D34" s="30"/>
      <c r="E34" s="30"/>
      <c r="F34" s="30"/>
    </row>
    <row r="35" spans="1:6" x14ac:dyDescent="0.3">
      <c r="A35" s="1" t="s">
        <v>49</v>
      </c>
      <c r="B35" s="4">
        <f>F32</f>
        <v>428000</v>
      </c>
    </row>
    <row r="36" spans="1:6" x14ac:dyDescent="0.3">
      <c r="A36" s="1" t="s">
        <v>50</v>
      </c>
      <c r="B36" s="4">
        <f>B35*0.15</f>
        <v>64200</v>
      </c>
    </row>
    <row r="37" spans="1:6" x14ac:dyDescent="0.3">
      <c r="A37" s="1" t="s">
        <v>24</v>
      </c>
      <c r="B37" s="4">
        <v>50000</v>
      </c>
    </row>
    <row r="38" spans="1:6" x14ac:dyDescent="0.3">
      <c r="A38" s="1" t="s">
        <v>51</v>
      </c>
      <c r="B38" s="4">
        <f>MAX(B36,B37)</f>
        <v>64200</v>
      </c>
    </row>
    <row r="39" spans="1:6" x14ac:dyDescent="0.3">
      <c r="A39" s="1" t="s">
        <v>52</v>
      </c>
      <c r="B39" s="4">
        <f>B35*B20</f>
        <v>25680</v>
      </c>
    </row>
    <row r="40" spans="1:6" x14ac:dyDescent="0.3">
      <c r="A40" s="1" t="s">
        <v>53</v>
      </c>
      <c r="B40" s="4">
        <f>B35*B21</f>
        <v>17120</v>
      </c>
    </row>
    <row r="42" spans="1:6" x14ac:dyDescent="0.3">
      <c r="A42" s="29" t="s">
        <v>54</v>
      </c>
      <c r="B42" s="31"/>
      <c r="C42" s="31"/>
      <c r="D42" s="31"/>
      <c r="E42" s="31"/>
    </row>
    <row r="43" spans="1:6" x14ac:dyDescent="0.3">
      <c r="A43" s="5" t="s">
        <v>55</v>
      </c>
      <c r="B43" s="5" t="s">
        <v>56</v>
      </c>
      <c r="C43" s="5" t="s">
        <v>57</v>
      </c>
      <c r="D43" s="5" t="s">
        <v>58</v>
      </c>
      <c r="E43" s="5" t="s">
        <v>59</v>
      </c>
    </row>
    <row r="44" spans="1:6" x14ac:dyDescent="0.3">
      <c r="A44" s="6" t="s">
        <v>11</v>
      </c>
      <c r="B44" s="6" t="s">
        <v>10</v>
      </c>
      <c r="C44" s="12">
        <v>0.75</v>
      </c>
      <c r="D44" s="8">
        <f>B35-D45-D46-D47</f>
        <v>321000</v>
      </c>
      <c r="E44" s="6" t="s">
        <v>60</v>
      </c>
    </row>
    <row r="45" spans="1:6" x14ac:dyDescent="0.3">
      <c r="A45" s="6" t="s">
        <v>15</v>
      </c>
      <c r="B45" s="6" t="s">
        <v>14</v>
      </c>
      <c r="C45" s="12">
        <v>0.15</v>
      </c>
      <c r="D45" s="8">
        <f>B38</f>
        <v>64200</v>
      </c>
      <c r="E45" s="6" t="s">
        <v>61</v>
      </c>
    </row>
    <row r="46" spans="1:6" x14ac:dyDescent="0.3">
      <c r="A46" s="6" t="s">
        <v>62</v>
      </c>
      <c r="B46" s="6" t="s">
        <v>16</v>
      </c>
      <c r="C46" s="12">
        <v>0.06</v>
      </c>
      <c r="D46" s="8">
        <f>B39</f>
        <v>25680</v>
      </c>
      <c r="E46" s="6" t="s">
        <v>63</v>
      </c>
    </row>
    <row r="47" spans="1:6" x14ac:dyDescent="0.3">
      <c r="A47" s="6" t="s">
        <v>64</v>
      </c>
      <c r="B47" s="6" t="s">
        <v>18</v>
      </c>
      <c r="C47" s="12">
        <v>0.04</v>
      </c>
      <c r="D47" s="8">
        <f>B40</f>
        <v>17120</v>
      </c>
      <c r="E47" s="6" t="s">
        <v>65</v>
      </c>
    </row>
    <row r="48" spans="1:6" x14ac:dyDescent="0.3">
      <c r="A48" s="13" t="s">
        <v>66</v>
      </c>
      <c r="B48" s="13"/>
      <c r="C48" s="13"/>
      <c r="D48" s="14">
        <f>SUM(D44:D47)</f>
        <v>428000</v>
      </c>
      <c r="E48" s="13" t="s">
        <v>67</v>
      </c>
    </row>
    <row r="50" spans="1:6" x14ac:dyDescent="0.3">
      <c r="A50" s="27" t="s">
        <v>68</v>
      </c>
      <c r="B50" s="27"/>
      <c r="C50" s="27"/>
      <c r="D50" s="27"/>
      <c r="E50" s="27"/>
      <c r="F50" s="27"/>
    </row>
    <row r="51" spans="1:6" x14ac:dyDescent="0.3">
      <c r="A51" s="15" t="s">
        <v>69</v>
      </c>
      <c r="B51" t="s">
        <v>70</v>
      </c>
    </row>
    <row r="52" spans="1:6" x14ac:dyDescent="0.3">
      <c r="A52" s="15" t="s">
        <v>71</v>
      </c>
      <c r="B52" t="s">
        <v>72</v>
      </c>
    </row>
    <row r="53" spans="1:6" x14ac:dyDescent="0.3">
      <c r="A53" s="15" t="s">
        <v>73</v>
      </c>
      <c r="B53" t="s">
        <v>74</v>
      </c>
    </row>
    <row r="54" spans="1:6" x14ac:dyDescent="0.3">
      <c r="A54" s="15" t="s">
        <v>75</v>
      </c>
      <c r="B54" t="s">
        <v>76</v>
      </c>
    </row>
    <row r="55" spans="1:6" x14ac:dyDescent="0.3">
      <c r="A55" s="15" t="s">
        <v>77</v>
      </c>
      <c r="B55" t="s">
        <v>78</v>
      </c>
    </row>
    <row r="56" spans="1:6" x14ac:dyDescent="0.3">
      <c r="A56" s="15" t="s">
        <v>79</v>
      </c>
      <c r="B56" t="s">
        <v>80</v>
      </c>
    </row>
    <row r="57" spans="1:6" x14ac:dyDescent="0.3">
      <c r="A57" s="15" t="s">
        <v>81</v>
      </c>
      <c r="B57" t="s">
        <v>82</v>
      </c>
    </row>
    <row r="61" spans="1:6" x14ac:dyDescent="0.3">
      <c r="B61" t="s">
        <v>152</v>
      </c>
    </row>
    <row r="62" spans="1:6" x14ac:dyDescent="0.3">
      <c r="B62" t="s">
        <v>153</v>
      </c>
    </row>
    <row r="63" spans="1:6" x14ac:dyDescent="0.3">
      <c r="B63" t="s">
        <v>154</v>
      </c>
    </row>
  </sheetData>
  <mergeCells count="7">
    <mergeCell ref="A50:F50"/>
    <mergeCell ref="A1:F1"/>
    <mergeCell ref="A3:F3"/>
    <mergeCell ref="A15:F15"/>
    <mergeCell ref="A26:F26"/>
    <mergeCell ref="A34:F34"/>
    <mergeCell ref="A42:E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64413-3B3B-471E-8B24-1FCDFE6419E9}">
  <dimension ref="A1:N60"/>
  <sheetViews>
    <sheetView zoomScale="60" zoomScaleNormal="60" workbookViewId="0">
      <selection activeCell="L7" sqref="L7"/>
    </sheetView>
  </sheetViews>
  <sheetFormatPr defaultRowHeight="14.4" x14ac:dyDescent="0.3"/>
  <cols>
    <col min="1" max="1" width="50.88671875" customWidth="1"/>
    <col min="2" max="2" width="32.6640625" customWidth="1"/>
    <col min="3" max="5" width="25.44140625" customWidth="1"/>
    <col min="6" max="6" width="36.44140625" customWidth="1"/>
    <col min="8" max="8" width="3.6640625" customWidth="1"/>
    <col min="9" max="9" width="3.88671875" customWidth="1"/>
    <col min="10" max="10" width="19.77734375" customWidth="1"/>
    <col min="11" max="11" width="49.88671875" customWidth="1"/>
    <col min="12" max="12" width="35.44140625" customWidth="1"/>
  </cols>
  <sheetData>
    <row r="1" spans="1:14" ht="21" x14ac:dyDescent="0.4">
      <c r="A1" s="28" t="s">
        <v>83</v>
      </c>
      <c r="B1" s="34"/>
      <c r="C1" s="34"/>
      <c r="D1" s="34"/>
      <c r="E1" s="34"/>
      <c r="F1" s="34"/>
      <c r="N1" s="16" t="s">
        <v>1</v>
      </c>
    </row>
    <row r="3" spans="1:14" ht="15.6" x14ac:dyDescent="0.3">
      <c r="A3" s="32" t="s">
        <v>2</v>
      </c>
      <c r="B3" s="33"/>
      <c r="C3" s="33"/>
      <c r="D3" s="33"/>
      <c r="E3" s="33"/>
      <c r="F3" s="33"/>
    </row>
    <row r="4" spans="1:14" x14ac:dyDescent="0.3">
      <c r="A4" s="1" t="s">
        <v>3</v>
      </c>
      <c r="B4" t="s">
        <v>84</v>
      </c>
    </row>
    <row r="5" spans="1:14" x14ac:dyDescent="0.3">
      <c r="A5" s="1" t="s">
        <v>5</v>
      </c>
      <c r="B5" t="s">
        <v>85</v>
      </c>
    </row>
    <row r="6" spans="1:14" x14ac:dyDescent="0.3">
      <c r="A6" s="1" t="s">
        <v>7</v>
      </c>
      <c r="B6" s="2">
        <v>46127</v>
      </c>
    </row>
    <row r="7" spans="1:14" x14ac:dyDescent="0.3">
      <c r="A7" s="1" t="s">
        <v>8</v>
      </c>
      <c r="B7" s="2">
        <v>46143</v>
      </c>
    </row>
    <row r="8" spans="1:14" x14ac:dyDescent="0.3">
      <c r="A8" s="1" t="s">
        <v>9</v>
      </c>
      <c r="B8" s="2">
        <v>47238</v>
      </c>
    </row>
    <row r="9" spans="1:14" x14ac:dyDescent="0.3">
      <c r="A9" s="1" t="s">
        <v>86</v>
      </c>
      <c r="B9" t="s">
        <v>15</v>
      </c>
      <c r="K9" t="s">
        <v>160</v>
      </c>
    </row>
    <row r="10" spans="1:14" x14ac:dyDescent="0.3">
      <c r="A10" s="1" t="s">
        <v>87</v>
      </c>
      <c r="B10" t="s">
        <v>88</v>
      </c>
    </row>
    <row r="11" spans="1:14" ht="23.4" x14ac:dyDescent="0.45">
      <c r="A11" s="1" t="s">
        <v>89</v>
      </c>
      <c r="B11" t="s">
        <v>90</v>
      </c>
      <c r="J11" s="6"/>
      <c r="K11" s="36" t="s">
        <v>85</v>
      </c>
      <c r="L11" s="6" t="s">
        <v>156</v>
      </c>
      <c r="M11" s="35"/>
    </row>
    <row r="12" spans="1:14" x14ac:dyDescent="0.3">
      <c r="A12" s="1" t="s">
        <v>91</v>
      </c>
      <c r="B12" t="s">
        <v>92</v>
      </c>
      <c r="J12" s="6"/>
      <c r="K12" s="6"/>
      <c r="L12" s="6"/>
      <c r="M12" s="35"/>
    </row>
    <row r="13" spans="1:14" ht="46.8" customHeight="1" x14ac:dyDescent="0.3">
      <c r="A13" s="1" t="s">
        <v>93</v>
      </c>
      <c r="B13" t="s">
        <v>94</v>
      </c>
      <c r="J13" s="37" t="s">
        <v>144</v>
      </c>
      <c r="K13" s="37" t="s">
        <v>141</v>
      </c>
      <c r="L13" s="6" t="s">
        <v>85</v>
      </c>
      <c r="M13" s="35"/>
    </row>
    <row r="14" spans="1:14" ht="15.6" x14ac:dyDescent="0.3">
      <c r="A14" s="1" t="s">
        <v>95</v>
      </c>
      <c r="B14" t="s">
        <v>96</v>
      </c>
      <c r="J14" s="6"/>
      <c r="K14" s="37" t="s">
        <v>155</v>
      </c>
      <c r="L14" s="6"/>
      <c r="M14" s="35"/>
    </row>
    <row r="15" spans="1:14" x14ac:dyDescent="0.3">
      <c r="A15" s="1" t="s">
        <v>20</v>
      </c>
      <c r="B15" t="s">
        <v>21</v>
      </c>
      <c r="J15" s="6"/>
      <c r="K15" s="1" t="s">
        <v>98</v>
      </c>
      <c r="L15" s="17">
        <v>2500000</v>
      </c>
      <c r="M15" s="35"/>
    </row>
    <row r="16" spans="1:14" ht="21.6" customHeight="1" x14ac:dyDescent="0.3">
      <c r="J16" s="6"/>
      <c r="K16" s="37" t="s">
        <v>142</v>
      </c>
      <c r="L16" s="38" t="s">
        <v>146</v>
      </c>
      <c r="M16" s="35"/>
    </row>
    <row r="17" spans="1:13" ht="15.6" x14ac:dyDescent="0.3">
      <c r="A17" s="32" t="s">
        <v>97</v>
      </c>
      <c r="B17" s="33"/>
      <c r="C17" s="33"/>
      <c r="D17" s="33"/>
      <c r="E17" s="33"/>
      <c r="F17" s="33"/>
      <c r="J17" s="6"/>
      <c r="K17" s="37" t="s">
        <v>143</v>
      </c>
      <c r="L17" s="6"/>
      <c r="M17" s="35"/>
    </row>
    <row r="18" spans="1:13" ht="20.399999999999999" customHeight="1" x14ac:dyDescent="0.3">
      <c r="A18" s="1" t="s">
        <v>98</v>
      </c>
      <c r="B18" s="17">
        <v>2500000</v>
      </c>
      <c r="J18" s="6"/>
      <c r="K18" s="39" t="s">
        <v>161</v>
      </c>
      <c r="L18" s="6"/>
      <c r="M18" s="35"/>
    </row>
    <row r="19" spans="1:13" x14ac:dyDescent="0.3">
      <c r="A19" s="1" t="s">
        <v>99</v>
      </c>
      <c r="B19">
        <v>1</v>
      </c>
      <c r="J19" s="6"/>
      <c r="K19" s="6"/>
      <c r="L19" s="6"/>
      <c r="M19" s="35"/>
    </row>
    <row r="20" spans="1:13" x14ac:dyDescent="0.3">
      <c r="A20" s="1" t="s">
        <v>100</v>
      </c>
      <c r="B20" s="17">
        <f>B18*B19</f>
        <v>2500000</v>
      </c>
      <c r="J20" s="6"/>
      <c r="K20" s="6" t="s">
        <v>24</v>
      </c>
      <c r="L20" s="18">
        <v>2500000</v>
      </c>
      <c r="M20" s="35"/>
    </row>
    <row r="21" spans="1:13" x14ac:dyDescent="0.3">
      <c r="A21" s="1" t="s">
        <v>101</v>
      </c>
      <c r="B21" s="3" t="s">
        <v>102</v>
      </c>
      <c r="J21" s="6"/>
      <c r="K21" t="s">
        <v>166</v>
      </c>
      <c r="L21" t="s">
        <v>167</v>
      </c>
      <c r="M21" s="35"/>
    </row>
    <row r="22" spans="1:13" x14ac:dyDescent="0.3">
      <c r="A22" s="1" t="s">
        <v>103</v>
      </c>
      <c r="B22" s="17">
        <v>0.12</v>
      </c>
      <c r="C22" s="3">
        <v>0.12</v>
      </c>
      <c r="J22" s="6"/>
      <c r="K22" s="6"/>
      <c r="L22" s="6"/>
      <c r="M22" s="35"/>
    </row>
    <row r="23" spans="1:13" x14ac:dyDescent="0.3">
      <c r="A23" s="1" t="s">
        <v>104</v>
      </c>
      <c r="B23" s="18">
        <v>2500000</v>
      </c>
      <c r="J23" s="6"/>
      <c r="K23" s="6"/>
      <c r="L23" s="12"/>
      <c r="M23" s="35"/>
    </row>
    <row r="24" spans="1:13" x14ac:dyDescent="0.3">
      <c r="A24" s="1" t="s">
        <v>105</v>
      </c>
      <c r="B24" s="17">
        <v>5000000</v>
      </c>
      <c r="J24" s="6"/>
      <c r="K24" s="6"/>
      <c r="L24" s="12"/>
      <c r="M24" s="35"/>
    </row>
    <row r="25" spans="1:13" x14ac:dyDescent="0.3">
      <c r="A25" s="1" t="s">
        <v>106</v>
      </c>
      <c r="B25">
        <v>500000</v>
      </c>
    </row>
    <row r="27" spans="1:13" ht="15.6" x14ac:dyDescent="0.3">
      <c r="A27" s="32" t="s">
        <v>107</v>
      </c>
      <c r="B27" s="33"/>
      <c r="C27" s="33"/>
      <c r="D27" s="33"/>
      <c r="E27" s="33"/>
      <c r="F27" s="33"/>
    </row>
    <row r="28" spans="1:13" x14ac:dyDescent="0.3">
      <c r="A28" s="19" t="s">
        <v>108</v>
      </c>
      <c r="B28" s="19" t="s">
        <v>109</v>
      </c>
      <c r="C28" s="19" t="s">
        <v>39</v>
      </c>
      <c r="D28" s="19" t="s">
        <v>110</v>
      </c>
      <c r="E28" s="19" t="s">
        <v>111</v>
      </c>
      <c r="F28" s="19" t="s">
        <v>42</v>
      </c>
    </row>
    <row r="29" spans="1:13" x14ac:dyDescent="0.3">
      <c r="A29" t="s">
        <v>112</v>
      </c>
      <c r="B29" s="18">
        <v>8500000</v>
      </c>
      <c r="C29" s="17">
        <v>4200000</v>
      </c>
      <c r="D29" s="17">
        <v>350000</v>
      </c>
      <c r="E29" s="17">
        <v>150000</v>
      </c>
      <c r="F29" s="17">
        <f>C29-D29-E29</f>
        <v>3700000</v>
      </c>
      <c r="J29" t="s">
        <v>162</v>
      </c>
      <c r="K29" t="s">
        <v>165</v>
      </c>
    </row>
    <row r="30" spans="1:13" x14ac:dyDescent="0.3">
      <c r="A30" t="s">
        <v>113</v>
      </c>
      <c r="B30" s="18">
        <v>12000000</v>
      </c>
      <c r="C30" s="17">
        <v>1800000</v>
      </c>
      <c r="D30" s="17">
        <v>80000</v>
      </c>
      <c r="E30" s="17">
        <v>40000</v>
      </c>
      <c r="F30" s="17">
        <f>C30-D30-E30</f>
        <v>1680000</v>
      </c>
    </row>
    <row r="31" spans="1:13" x14ac:dyDescent="0.3">
      <c r="A31" t="s">
        <v>114</v>
      </c>
      <c r="B31" s="18">
        <v>3500000</v>
      </c>
      <c r="C31" s="17">
        <v>950000</v>
      </c>
      <c r="D31" s="17">
        <v>60000</v>
      </c>
      <c r="E31" s="17">
        <v>30000</v>
      </c>
      <c r="F31" s="17">
        <f>C31-D31-E31</f>
        <v>860000</v>
      </c>
    </row>
    <row r="32" spans="1:13" x14ac:dyDescent="0.3">
      <c r="A32" t="s">
        <v>115</v>
      </c>
      <c r="B32" s="18">
        <v>2000000</v>
      </c>
      <c r="C32" s="17">
        <v>450000</v>
      </c>
      <c r="D32" s="17">
        <v>40000</v>
      </c>
      <c r="E32" s="17">
        <v>20000</v>
      </c>
      <c r="F32" s="17">
        <f>C32-D32-E32</f>
        <v>390000</v>
      </c>
    </row>
    <row r="33" spans="1:6" x14ac:dyDescent="0.3">
      <c r="A33" s="20" t="s">
        <v>47</v>
      </c>
      <c r="B33" s="21">
        <f>SUM(B29:B32)</f>
        <v>26000000</v>
      </c>
      <c r="C33" s="22">
        <f>SUM(C29:C32)</f>
        <v>7400000</v>
      </c>
      <c r="D33" s="22">
        <f>SUM(D29:D32)</f>
        <v>530000</v>
      </c>
      <c r="E33" s="22">
        <f>SUM(E29:E32)</f>
        <v>240000</v>
      </c>
      <c r="F33" s="22">
        <f>SUM(F29:F32)</f>
        <v>6630000</v>
      </c>
    </row>
    <row r="35" spans="1:6" ht="15.6" x14ac:dyDescent="0.3">
      <c r="A35" s="32" t="s">
        <v>48</v>
      </c>
      <c r="B35" s="33"/>
      <c r="C35" s="33"/>
      <c r="D35" s="33"/>
      <c r="E35" s="33"/>
      <c r="F35" s="33"/>
    </row>
    <row r="36" spans="1:6" x14ac:dyDescent="0.3">
      <c r="A36" s="1" t="s">
        <v>116</v>
      </c>
      <c r="B36" s="17">
        <f>F33</f>
        <v>6630000</v>
      </c>
    </row>
    <row r="37" spans="1:6" x14ac:dyDescent="0.3">
      <c r="A37" s="1" t="s">
        <v>117</v>
      </c>
      <c r="B37" s="17">
        <f>B18</f>
        <v>2500000</v>
      </c>
    </row>
    <row r="38" spans="1:6" x14ac:dyDescent="0.3">
      <c r="A38" s="1" t="s">
        <v>118</v>
      </c>
      <c r="B38" s="17">
        <f>F33*B22</f>
        <v>795600</v>
      </c>
    </row>
    <row r="39" spans="1:6" x14ac:dyDescent="0.3">
      <c r="A39" s="1" t="s">
        <v>119</v>
      </c>
      <c r="B39" s="17">
        <f>B37+B38</f>
        <v>3295600</v>
      </c>
    </row>
    <row r="40" spans="1:6" x14ac:dyDescent="0.3">
      <c r="A40" s="1" t="s">
        <v>120</v>
      </c>
      <c r="B40" s="17">
        <f>B23</f>
        <v>2500000</v>
      </c>
    </row>
    <row r="41" spans="1:6" x14ac:dyDescent="0.3">
      <c r="A41" s="1" t="s">
        <v>121</v>
      </c>
      <c r="B41" s="17">
        <f>MAX(B39,B40)</f>
        <v>3295600</v>
      </c>
    </row>
    <row r="42" spans="1:6" x14ac:dyDescent="0.3">
      <c r="A42" s="1" t="s">
        <v>122</v>
      </c>
      <c r="B42" s="18">
        <f>B33</f>
        <v>26000000</v>
      </c>
    </row>
    <row r="43" spans="1:6" x14ac:dyDescent="0.3">
      <c r="A43" s="1" t="s">
        <v>123</v>
      </c>
      <c r="B43" t="str">
        <f>IF(B42&gt;=B24,"YES","NO")</f>
        <v>YES</v>
      </c>
    </row>
    <row r="44" spans="1:6" x14ac:dyDescent="0.3">
      <c r="A44" s="1" t="s">
        <v>106</v>
      </c>
      <c r="B44" s="17">
        <f>IF(B42&gt;=B24,B25,0)</f>
        <v>500000</v>
      </c>
    </row>
    <row r="45" spans="1:6" x14ac:dyDescent="0.3">
      <c r="A45" s="23" t="s">
        <v>124</v>
      </c>
      <c r="B45" s="24">
        <f>B41+B44</f>
        <v>3795600</v>
      </c>
    </row>
    <row r="47" spans="1:6" ht="15.6" x14ac:dyDescent="0.3">
      <c r="A47" s="32" t="s">
        <v>125</v>
      </c>
      <c r="B47" s="33"/>
      <c r="C47" s="33"/>
      <c r="D47" s="33"/>
      <c r="E47" s="33"/>
    </row>
    <row r="48" spans="1:6" x14ac:dyDescent="0.3">
      <c r="A48" s="19" t="s">
        <v>55</v>
      </c>
      <c r="B48" s="19" t="s">
        <v>56</v>
      </c>
      <c r="C48" s="19" t="s">
        <v>58</v>
      </c>
      <c r="D48" s="19" t="s">
        <v>59</v>
      </c>
    </row>
    <row r="49" spans="1:6" x14ac:dyDescent="0.3">
      <c r="A49" t="s">
        <v>15</v>
      </c>
      <c r="B49" t="s">
        <v>86</v>
      </c>
      <c r="C49" s="17">
        <f>B45</f>
        <v>3795600</v>
      </c>
      <c r="D49" t="s">
        <v>126</v>
      </c>
    </row>
    <row r="50" spans="1:6" x14ac:dyDescent="0.3">
      <c r="A50" t="s">
        <v>90</v>
      </c>
      <c r="B50" t="s">
        <v>89</v>
      </c>
      <c r="C50" s="17">
        <f>F33-B45</f>
        <v>2834400</v>
      </c>
      <c r="D50" t="s">
        <v>127</v>
      </c>
    </row>
    <row r="51" spans="1:6" x14ac:dyDescent="0.3">
      <c r="A51" s="20" t="s">
        <v>66</v>
      </c>
      <c r="B51" s="20"/>
      <c r="C51" s="22">
        <f>F33</f>
        <v>6630000</v>
      </c>
      <c r="D51" s="20" t="s">
        <v>67</v>
      </c>
    </row>
    <row r="53" spans="1:6" ht="15.6" x14ac:dyDescent="0.3">
      <c r="A53" s="32" t="s">
        <v>68</v>
      </c>
      <c r="B53" s="33"/>
      <c r="C53" s="33"/>
      <c r="D53" s="33"/>
      <c r="E53" s="33"/>
      <c r="F53" s="33"/>
    </row>
    <row r="54" spans="1:6" x14ac:dyDescent="0.3">
      <c r="A54" s="25" t="s">
        <v>69</v>
      </c>
      <c r="B54" s="26" t="s">
        <v>128</v>
      </c>
    </row>
    <row r="55" spans="1:6" x14ac:dyDescent="0.3">
      <c r="A55" s="25" t="s">
        <v>129</v>
      </c>
      <c r="B55" s="26" t="s">
        <v>130</v>
      </c>
    </row>
    <row r="56" spans="1:6" x14ac:dyDescent="0.3">
      <c r="A56" s="25" t="s">
        <v>131</v>
      </c>
      <c r="B56" s="26" t="s">
        <v>132</v>
      </c>
    </row>
    <row r="57" spans="1:6" x14ac:dyDescent="0.3">
      <c r="A57" s="25" t="s">
        <v>133</v>
      </c>
      <c r="B57" s="26" t="s">
        <v>134</v>
      </c>
    </row>
    <row r="58" spans="1:6" x14ac:dyDescent="0.3">
      <c r="A58" s="25" t="s">
        <v>135</v>
      </c>
      <c r="B58" s="26" t="s">
        <v>136</v>
      </c>
    </row>
    <row r="59" spans="1:6" x14ac:dyDescent="0.3">
      <c r="A59" s="25" t="s">
        <v>137</v>
      </c>
      <c r="B59" s="26" t="s">
        <v>138</v>
      </c>
    </row>
    <row r="60" spans="1:6" x14ac:dyDescent="0.3">
      <c r="A60" s="25" t="s">
        <v>139</v>
      </c>
      <c r="B60" s="26" t="s">
        <v>140</v>
      </c>
    </row>
  </sheetData>
  <mergeCells count="7">
    <mergeCell ref="A53:F53"/>
    <mergeCell ref="A1:F1"/>
    <mergeCell ref="A3:F3"/>
    <mergeCell ref="A17:F17"/>
    <mergeCell ref="A27:F27"/>
    <mergeCell ref="A35:F35"/>
    <mergeCell ref="A47:E4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Multi-party</vt:lpstr>
      <vt:lpstr>Broadcasting Rights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Bhuwan Sirohi</dc:creator>
  <cp:keywords/>
  <dc:description/>
  <cp:lastModifiedBy>Pratibha Vishwakarma</cp:lastModifiedBy>
  <cp:revision/>
  <dcterms:created xsi:type="dcterms:W3CDTF">2026-04-23T13:01:55Z</dcterms:created>
  <dcterms:modified xsi:type="dcterms:W3CDTF">2026-04-23T16:40:40Z</dcterms:modified>
  <cp:category/>
  <cp:contentStatus/>
</cp:coreProperties>
</file>