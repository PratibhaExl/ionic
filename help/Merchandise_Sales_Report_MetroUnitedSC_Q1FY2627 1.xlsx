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bhuwan255576_exlservice_com/Documents/Desktop/Desktop files/"/>
    </mc:Choice>
  </mc:AlternateContent>
  <xr:revisionPtr revIDLastSave="0" documentId="8_{60252213-1E79-4408-8791-2B77B9F6504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eller Sales Report" sheetId="1" r:id="rId1"/>
    <sheet name="Revenue by SKU Summary" sheetId="2" r:id="rId2"/>
    <sheet name="Revenue Distrib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3" l="1"/>
  <c r="D15" i="3"/>
  <c r="D10" i="3"/>
  <c r="D9" i="3"/>
  <c r="D8" i="3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11" i="2"/>
  <c r="G10" i="2"/>
  <c r="B10" i="2"/>
  <c r="G9" i="2"/>
  <c r="B9" i="2"/>
  <c r="G8" i="2"/>
  <c r="B8" i="2"/>
  <c r="G7" i="2"/>
  <c r="B7" i="2"/>
  <c r="G24" i="1"/>
  <c r="F24" i="1"/>
  <c r="E24" i="1"/>
  <c r="K23" i="1"/>
  <c r="M23" i="1" s="1"/>
  <c r="J23" i="1"/>
  <c r="I23" i="1"/>
  <c r="G23" i="1"/>
  <c r="J22" i="1"/>
  <c r="I22" i="1"/>
  <c r="K22" i="1" s="1"/>
  <c r="G22" i="1"/>
  <c r="K21" i="1"/>
  <c r="J21" i="1"/>
  <c r="I21" i="1"/>
  <c r="G21" i="1"/>
  <c r="J20" i="1"/>
  <c r="I20" i="1"/>
  <c r="K20" i="1" s="1"/>
  <c r="G20" i="1"/>
  <c r="J19" i="1"/>
  <c r="I19" i="1"/>
  <c r="K19" i="1" s="1"/>
  <c r="G19" i="1"/>
  <c r="J18" i="1"/>
  <c r="I18" i="1"/>
  <c r="K18" i="1" s="1"/>
  <c r="G18" i="1"/>
  <c r="K17" i="1"/>
  <c r="M17" i="1" s="1"/>
  <c r="J17" i="1"/>
  <c r="I17" i="1"/>
  <c r="G17" i="1"/>
  <c r="J16" i="1"/>
  <c r="I16" i="1"/>
  <c r="K16" i="1" s="1"/>
  <c r="G16" i="1"/>
  <c r="J15" i="1"/>
  <c r="I15" i="1"/>
  <c r="K15" i="1" s="1"/>
  <c r="G15" i="1"/>
  <c r="J14" i="1"/>
  <c r="I14" i="1"/>
  <c r="K14" i="1" s="1"/>
  <c r="G14" i="1"/>
  <c r="J13" i="1"/>
  <c r="I13" i="1"/>
  <c r="K13" i="1" s="1"/>
  <c r="G13" i="1"/>
  <c r="J12" i="1"/>
  <c r="I12" i="1"/>
  <c r="K12" i="1" s="1"/>
  <c r="G12" i="1"/>
  <c r="J11" i="1"/>
  <c r="I11" i="1"/>
  <c r="K11" i="1" s="1"/>
  <c r="G11" i="1"/>
  <c r="J10" i="1"/>
  <c r="I10" i="1"/>
  <c r="K10" i="1" s="1"/>
  <c r="G10" i="1"/>
  <c r="J9" i="1"/>
  <c r="J24" i="1" s="1"/>
  <c r="I9" i="1"/>
  <c r="K9" i="1" s="1"/>
  <c r="G9" i="1"/>
  <c r="M10" i="1" l="1"/>
  <c r="N10" i="1"/>
  <c r="C8" i="2" s="1"/>
  <c r="M16" i="1"/>
  <c r="N16" i="1" s="1"/>
  <c r="C14" i="2" s="1"/>
  <c r="M14" i="1"/>
  <c r="N14" i="1"/>
  <c r="C12" i="2" s="1"/>
  <c r="N21" i="1"/>
  <c r="C19" i="2" s="1"/>
  <c r="M18" i="1"/>
  <c r="N18" i="1" s="1"/>
  <c r="C16" i="2" s="1"/>
  <c r="M22" i="1"/>
  <c r="N22" i="1"/>
  <c r="C20" i="2" s="1"/>
  <c r="M11" i="1"/>
  <c r="N11" i="1" s="1"/>
  <c r="C9" i="2" s="1"/>
  <c r="M15" i="1"/>
  <c r="N15" i="1"/>
  <c r="C13" i="2" s="1"/>
  <c r="M19" i="1"/>
  <c r="N19" i="1"/>
  <c r="C17" i="2" s="1"/>
  <c r="M12" i="1"/>
  <c r="N12" i="1"/>
  <c r="C10" i="2" s="1"/>
  <c r="M20" i="1"/>
  <c r="N20" i="1"/>
  <c r="C18" i="2" s="1"/>
  <c r="K24" i="1"/>
  <c r="M9" i="1"/>
  <c r="M24" i="1" s="1"/>
  <c r="M13" i="1"/>
  <c r="N13" i="1" s="1"/>
  <c r="C11" i="2" s="1"/>
  <c r="M21" i="1"/>
  <c r="N17" i="1"/>
  <c r="C15" i="2" s="1"/>
  <c r="N23" i="1"/>
  <c r="C21" i="2" s="1"/>
  <c r="I24" i="1"/>
  <c r="J16" i="2" l="1"/>
  <c r="I16" i="2"/>
  <c r="H16" i="2"/>
  <c r="K16" i="2"/>
  <c r="C10" i="3"/>
  <c r="J9" i="2"/>
  <c r="I9" i="2"/>
  <c r="H9" i="2"/>
  <c r="E10" i="3" s="1"/>
  <c r="I11" i="2"/>
  <c r="H11" i="2"/>
  <c r="K11" i="2" s="1"/>
  <c r="J11" i="2"/>
  <c r="J14" i="2"/>
  <c r="H14" i="2"/>
  <c r="K14" i="2" s="1"/>
  <c r="I14" i="2"/>
  <c r="H18" i="2"/>
  <c r="J18" i="2"/>
  <c r="I18" i="2"/>
  <c r="K18" i="2" s="1"/>
  <c r="J10" i="2"/>
  <c r="I10" i="2"/>
  <c r="K10" i="2" s="1"/>
  <c r="H10" i="2"/>
  <c r="J19" i="2"/>
  <c r="I19" i="2"/>
  <c r="H19" i="2"/>
  <c r="K19" i="2" s="1"/>
  <c r="J21" i="2"/>
  <c r="I21" i="2"/>
  <c r="H21" i="2"/>
  <c r="K21" i="2" s="1"/>
  <c r="J15" i="2"/>
  <c r="I15" i="2"/>
  <c r="K15" i="2" s="1"/>
  <c r="H15" i="2"/>
  <c r="J12" i="2"/>
  <c r="H12" i="2"/>
  <c r="K12" i="2" s="1"/>
  <c r="I12" i="2"/>
  <c r="J20" i="2"/>
  <c r="I20" i="2"/>
  <c r="H20" i="2"/>
  <c r="K20" i="2" s="1"/>
  <c r="N9" i="1"/>
  <c r="C20" i="3"/>
  <c r="C21" i="3" s="1"/>
  <c r="K17" i="2"/>
  <c r="I17" i="2"/>
  <c r="J17" i="2"/>
  <c r="E20" i="3" s="1"/>
  <c r="E21" i="3" s="1"/>
  <c r="B28" i="3" s="1"/>
  <c r="H17" i="2"/>
  <c r="C15" i="3"/>
  <c r="C16" i="3" s="1"/>
  <c r="J13" i="2"/>
  <c r="I13" i="2"/>
  <c r="E15" i="3" s="1"/>
  <c r="E16" i="3" s="1"/>
  <c r="B27" i="3" s="1"/>
  <c r="H13" i="2"/>
  <c r="K13" i="2" s="1"/>
  <c r="C9" i="3"/>
  <c r="J8" i="2"/>
  <c r="I8" i="2"/>
  <c r="K8" i="2" s="1"/>
  <c r="H8" i="2"/>
  <c r="C7" i="2" l="1"/>
  <c r="N24" i="1"/>
  <c r="K9" i="2"/>
  <c r="E9" i="3"/>
  <c r="C22" i="2" l="1"/>
  <c r="B25" i="3" s="1"/>
  <c r="J7" i="2"/>
  <c r="J22" i="2" s="1"/>
  <c r="I7" i="2"/>
  <c r="I22" i="2" s="1"/>
  <c r="C8" i="3"/>
  <c r="C11" i="3" s="1"/>
  <c r="H7" i="2"/>
  <c r="E8" i="3" l="1"/>
  <c r="E11" i="3" s="1"/>
  <c r="B26" i="3" s="1"/>
  <c r="C26" i="3" s="1"/>
  <c r="H22" i="2"/>
  <c r="G22" i="2" s="1"/>
  <c r="K7" i="2"/>
  <c r="K22" i="2" s="1"/>
  <c r="B29" i="3"/>
  <c r="C29" i="3" s="1"/>
  <c r="C25" i="3"/>
  <c r="C27" i="3"/>
  <c r="C28" i="3"/>
</calcChain>
</file>

<file path=xl/sharedStrings.xml><?xml version="1.0" encoding="utf-8"?>
<sst xmlns="http://schemas.openxmlformats.org/spreadsheetml/2006/main" count="178" uniqueCount="120">
  <si>
    <t>Seller Name</t>
  </si>
  <si>
    <t>SportsMerch Ltd</t>
  </si>
  <si>
    <t>Seller ID</t>
  </si>
  <si>
    <t>SM-4421</t>
  </si>
  <si>
    <t>Club Name</t>
  </si>
  <si>
    <t>Report Period</t>
  </si>
  <si>
    <t>01-Apr-202x to 30-Jun-202x</t>
  </si>
  <si>
    <t>Submission Date</t>
  </si>
  <si>
    <t>07-Jul-202x</t>
  </si>
  <si>
    <t>Currency</t>
  </si>
  <si>
    <t>USD ($)</t>
  </si>
  <si>
    <t>SKU / Product Code</t>
  </si>
  <si>
    <t>Product Description</t>
  </si>
  <si>
    <t>Category</t>
  </si>
  <si>
    <t>Player / Association</t>
  </si>
  <si>
    <t>Units Sold</t>
  </si>
  <si>
    <t>Returns (Units)</t>
  </si>
  <si>
    <t>Net Units Sold</t>
  </si>
  <si>
    <t>Seller Commission %</t>
  </si>
  <si>
    <t>JRY-001</t>
  </si>
  <si>
    <t>Home Jersey – #10 A. Santos</t>
  </si>
  <si>
    <t>Jersey</t>
  </si>
  <si>
    <t>A. Santos (Player)</t>
  </si>
  <si>
    <t>JRY-002</t>
  </si>
  <si>
    <t>Away Jersey – #7 T. Nakamura</t>
  </si>
  <si>
    <t>T. Nakamura (Player)</t>
  </si>
  <si>
    <t>JRY-003</t>
  </si>
  <si>
    <t>Goalkeeper Jersey – #1 P. Osei</t>
  </si>
  <si>
    <t>P. Osei (Player)</t>
  </si>
  <si>
    <t>JRY-004</t>
  </si>
  <si>
    <t>Third Jersey – Club Crest Only</t>
  </si>
  <si>
    <t>Club General</t>
  </si>
  <si>
    <t>KIT-001</t>
  </si>
  <si>
    <t>Kids Kit Set (Home)</t>
  </si>
  <si>
    <t>Kit</t>
  </si>
  <si>
    <t>TRK-001</t>
  </si>
  <si>
    <t>Training Tracksuit</t>
  </si>
  <si>
    <t>Training Wear</t>
  </si>
  <si>
    <t>SHT-001</t>
  </si>
  <si>
    <t>Collab Polo – FC Eastdale</t>
  </si>
  <si>
    <t>Apparel</t>
  </si>
  <si>
    <t>FC Eastdale (Partner)</t>
  </si>
  <si>
    <t>HOD-001</t>
  </si>
  <si>
    <t>Club Hoodie</t>
  </si>
  <si>
    <t>CAP-001</t>
  </si>
  <si>
    <t>Snapback Cap – Club Crest</t>
  </si>
  <si>
    <t>Accessories</t>
  </si>
  <si>
    <t>SCF-001</t>
  </si>
  <si>
    <t>Club Scarf</t>
  </si>
  <si>
    <t>ACC-001</t>
  </si>
  <si>
    <t>Keychain &amp; Badge Set</t>
  </si>
  <si>
    <t>BadgeCraft™ (Vendor)</t>
  </si>
  <si>
    <t>MUG-001</t>
  </si>
  <si>
    <t>Club Ceramic Mug</t>
  </si>
  <si>
    <t>Lifestyle</t>
  </si>
  <si>
    <t>BOT-001</t>
  </si>
  <si>
    <t>Water Bottle – Branded</t>
  </si>
  <si>
    <t>POS-001</t>
  </si>
  <si>
    <t>Signed Poster – A. Santos</t>
  </si>
  <si>
    <t>Memorabilia</t>
  </si>
  <si>
    <t>POS-002</t>
  </si>
  <si>
    <t>Signed Poster – T. Nakamura</t>
  </si>
  <si>
    <t>TOTAL</t>
  </si>
  <si>
    <t>Period</t>
  </si>
  <si>
    <t>Q1 FY202x-2x  (Apr – Jun 202x)</t>
  </si>
  <si>
    <t>Prepared By</t>
  </si>
  <si>
    <t>Finance Dept</t>
  </si>
  <si>
    <t>Date</t>
  </si>
  <si>
    <t>SKU</t>
  </si>
  <si>
    <t>Player
Royalty %</t>
  </si>
  <si>
    <t>Partner Club
Share %</t>
  </si>
  <si>
    <t>Royalty
Vendor %</t>
  </si>
  <si>
    <t>Total
Deductions %</t>
  </si>
  <si>
    <t>Purpose</t>
  </si>
  <si>
    <t>Revenue sharing to players, partner clubs &amp; royalty vendors</t>
  </si>
  <si>
    <t>A. PLAYER ROYALTIES</t>
  </si>
  <si>
    <t>Player Name</t>
  </si>
  <si>
    <t>SKU(s) Attributed</t>
  </si>
  <si>
    <t>Royalty Rate</t>
  </si>
  <si>
    <t>Payment Reference</t>
  </si>
  <si>
    <t>A. Santos</t>
  </si>
  <si>
    <t>JRY-001, POS-001</t>
  </si>
  <si>
    <t>PAY-PLY-001</t>
  </si>
  <si>
    <t>T. Nakamura</t>
  </si>
  <si>
    <t>JRY-002, POS-002</t>
  </si>
  <si>
    <t>PAY-PLY-002</t>
  </si>
  <si>
    <t>P. Osei</t>
  </si>
  <si>
    <t>PAY-PLY-003</t>
  </si>
  <si>
    <t>B. PARTNER CLUB REVENUE SHARE</t>
  </si>
  <si>
    <t>Partner Club</t>
  </si>
  <si>
    <t>Share Rate</t>
  </si>
  <si>
    <t>FC Eastdale</t>
  </si>
  <si>
    <t>PAY-CLB-001</t>
  </si>
  <si>
    <t>C. ROYALTY VENDOR PAYMENTS</t>
  </si>
  <si>
    <t>Vendor Name</t>
  </si>
  <si>
    <t>BadgeCraft™ (Licensing)</t>
  </si>
  <si>
    <t>PAY-VND-001</t>
  </si>
  <si>
    <t>D. CLUB NET REVENUE SUMMARY</t>
  </si>
  <si>
    <t>Revenue Component</t>
  </si>
  <si>
    <t>% of Total Net Sales</t>
  </si>
  <si>
    <t>Total Net Revenue from Seller</t>
  </si>
  <si>
    <t>(Less) Player Royalties</t>
  </si>
  <si>
    <t>(Less) Partner Club Share</t>
  </si>
  <si>
    <t>(Less) Royalty Vendor Payments</t>
  </si>
  <si>
    <t>Club Net Revenue</t>
  </si>
  <si>
    <t>RRP ($)</t>
  </si>
  <si>
    <t>Gross Sales ($)</t>
  </si>
  <si>
    <t>Returns Value ($)</t>
  </si>
  <si>
    <t>Net Sales ($)</t>
  </si>
  <si>
    <t>Seller Commission ($)</t>
  </si>
  <si>
    <t>Net Revenue to Club ($)</t>
  </si>
  <si>
    <t>Net Revenue
from Seller ($)</t>
  </si>
  <si>
    <t>Player
Royalty ($)</t>
  </si>
  <si>
    <t>Partner Club
Share ($)</t>
  </si>
  <si>
    <t>Royalty
Vendor ($)</t>
  </si>
  <si>
    <t>Club Net
Revenue ($)</t>
  </si>
  <si>
    <t>Royalty Amount ($)</t>
  </si>
  <si>
    <t>Share Amount ($)</t>
  </si>
  <si>
    <t>Amount ($)</t>
  </si>
  <si>
    <t>Metro United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</si>
</sst>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#,##0;\(#,##0\);\-"/>
    <numFmt numFmtId="166" formatCode="0.0%;0.0%;\-"/>
    <numFmt numFmtId="167" formatCode="&quot;$&quot;#,##0.00"/>
  </numFmts>
  <fonts count="9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1F2D4E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F0FB"/>
        <bgColor rgb="FFD6E4F0"/>
      </patternFill>
    </fill>
    <fill>
      <patternFill patternType="solid">
        <fgColor rgb="FF1F2D4E"/>
        <bgColor rgb="FF003366"/>
      </patternFill>
    </fill>
    <fill>
      <patternFill patternType="solid">
        <fgColor rgb="FFD6E4F0"/>
        <bgColor rgb="FFEAF0FB"/>
      </patternFill>
    </fill>
    <fill>
      <patternFill patternType="solid">
        <fgColor rgb="FFFFFFFF"/>
        <bgColor rgb="FFEAF0FB"/>
      </patternFill>
    </fill>
    <fill>
      <patternFill patternType="solid">
        <fgColor rgb="FFE8A020"/>
        <bgColor rgb="FFFFCC00"/>
      </patternFill>
    </fill>
    <fill>
      <patternFill patternType="solid">
        <fgColor rgb="FF2E5090"/>
        <bgColor rgb="FF1A5C38"/>
      </patternFill>
    </fill>
    <fill>
      <patternFill patternType="solid">
        <fgColor rgb="FF1A5C38"/>
        <bgColor rgb="FF2E509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65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4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164" fontId="1" fillId="0" borderId="1" xfId="1" applyBorder="1" applyAlignment="1">
      <alignment horizontal="right" vertical="center"/>
    </xf>
    <xf numFmtId="167" fontId="3" fillId="5" borderId="1" xfId="0" applyNumberFormat="1" applyFont="1" applyFill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4" fontId="7" fillId="9" borderId="1" xfId="1" applyFont="1" applyFill="1" applyBorder="1"/>
    <xf numFmtId="164" fontId="7" fillId="9" borderId="1" xfId="1" applyFont="1" applyFill="1" applyBorder="1" applyAlignment="1">
      <alignment horizontal="right" vertical="center"/>
    </xf>
    <xf numFmtId="0" fontId="8" fillId="10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1F2D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abSelected="1" zoomScaleNormal="100" workbookViewId="0">
      <pane ySplit="8" topLeftCell="A9" activePane="bottomLeft" state="frozen"/>
      <selection pane="bottomLeft" activeCell="A3" sqref="A3"/>
    </sheetView>
  </sheetViews>
  <sheetFormatPr defaultColWidth="8.6328125" defaultRowHeight="14.5" x14ac:dyDescent="0.35"/>
  <cols>
    <col min="1" max="1" width="16" customWidth="1"/>
    <col min="2" max="2" width="32" customWidth="1"/>
    <col min="3" max="3" width="16" customWidth="1"/>
    <col min="4" max="4" width="26" customWidth="1"/>
    <col min="5" max="5" width="12" customWidth="1"/>
    <col min="6" max="6" width="14" customWidth="1"/>
    <col min="7" max="7" width="13" customWidth="1"/>
    <col min="8" max="8" width="10" customWidth="1"/>
    <col min="9" max="10" width="16" customWidth="1"/>
    <col min="11" max="11" width="14" customWidth="1"/>
    <col min="12" max="12" width="16" customWidth="1"/>
    <col min="13" max="13" width="18" customWidth="1"/>
    <col min="14" max="14" width="20" customWidth="1"/>
  </cols>
  <sheetData>
    <row r="1" spans="1:14" ht="15" customHeight="1" x14ac:dyDescent="0.35">
      <c r="A1" s="1" t="s">
        <v>0</v>
      </c>
      <c r="B1" s="2" t="s">
        <v>1</v>
      </c>
    </row>
    <row r="2" spans="1:14" ht="15" customHeight="1" x14ac:dyDescent="0.35">
      <c r="A2" s="1" t="s">
        <v>2</v>
      </c>
      <c r="B2" s="2" t="s">
        <v>3</v>
      </c>
    </row>
    <row r="3" spans="1:14" ht="15" customHeight="1" x14ac:dyDescent="0.35">
      <c r="A3" s="1" t="s">
        <v>4</v>
      </c>
      <c r="B3" s="2" t="s">
        <v>119</v>
      </c>
    </row>
    <row r="4" spans="1:14" ht="15" customHeight="1" x14ac:dyDescent="0.35">
      <c r="A4" s="1" t="s">
        <v>5</v>
      </c>
      <c r="B4" s="2" t="s">
        <v>6</v>
      </c>
    </row>
    <row r="5" spans="1:14" ht="15" customHeight="1" x14ac:dyDescent="0.35">
      <c r="A5" s="1" t="s">
        <v>7</v>
      </c>
      <c r="B5" s="2" t="s">
        <v>8</v>
      </c>
    </row>
    <row r="6" spans="1:14" ht="15" customHeight="1" x14ac:dyDescent="0.35">
      <c r="A6" s="1" t="s">
        <v>9</v>
      </c>
      <c r="B6" s="2" t="s">
        <v>10</v>
      </c>
    </row>
    <row r="7" spans="1:14" ht="7.5" customHeight="1" x14ac:dyDescent="0.35"/>
    <row r="8" spans="1:14" ht="36" customHeight="1" x14ac:dyDescent="0.3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105</v>
      </c>
      <c r="I8" s="3" t="s">
        <v>106</v>
      </c>
      <c r="J8" s="3" t="s">
        <v>107</v>
      </c>
      <c r="K8" s="3" t="s">
        <v>108</v>
      </c>
      <c r="L8" s="3" t="s">
        <v>18</v>
      </c>
      <c r="M8" s="3" t="s">
        <v>109</v>
      </c>
      <c r="N8" s="3" t="s">
        <v>110</v>
      </c>
    </row>
    <row r="9" spans="1:14" ht="15" customHeight="1" x14ac:dyDescent="0.35">
      <c r="A9" s="4" t="s">
        <v>19</v>
      </c>
      <c r="B9" s="4" t="s">
        <v>20</v>
      </c>
      <c r="C9" s="4" t="s">
        <v>21</v>
      </c>
      <c r="D9" s="4" t="s">
        <v>22</v>
      </c>
      <c r="E9" s="5">
        <v>820</v>
      </c>
      <c r="F9" s="5">
        <v>18</v>
      </c>
      <c r="G9" s="5">
        <f t="shared" ref="G9:G23" si="0">E9-F9</f>
        <v>802</v>
      </c>
      <c r="H9" s="23">
        <v>89.99</v>
      </c>
      <c r="I9" s="23">
        <f t="shared" ref="I9:I23" si="1">E9*H9</f>
        <v>73791.8</v>
      </c>
      <c r="J9" s="23">
        <f t="shared" ref="J9:J23" si="2">F9*H9</f>
        <v>1619.82</v>
      </c>
      <c r="K9" s="23">
        <f t="shared" ref="K9:K23" si="3">I9-J9</f>
        <v>72171.98</v>
      </c>
      <c r="L9" s="6">
        <v>0.15</v>
      </c>
      <c r="M9" s="23">
        <f t="shared" ref="M9:M23" si="4">K9*L9</f>
        <v>10825.796999999999</v>
      </c>
      <c r="N9" s="23">
        <f t="shared" ref="N9:N23" si="5">K9-M9</f>
        <v>61346.182999999997</v>
      </c>
    </row>
    <row r="10" spans="1:14" ht="15" customHeight="1" x14ac:dyDescent="0.35">
      <c r="A10" s="7" t="s">
        <v>23</v>
      </c>
      <c r="B10" s="7" t="s">
        <v>24</v>
      </c>
      <c r="C10" s="7" t="s">
        <v>21</v>
      </c>
      <c r="D10" s="7" t="s">
        <v>25</v>
      </c>
      <c r="E10" s="8">
        <v>640</v>
      </c>
      <c r="F10" s="8">
        <v>12</v>
      </c>
      <c r="G10" s="8">
        <f t="shared" si="0"/>
        <v>628</v>
      </c>
      <c r="H10" s="23">
        <v>89.99</v>
      </c>
      <c r="I10" s="23">
        <f t="shared" si="1"/>
        <v>57593.599999999999</v>
      </c>
      <c r="J10" s="23">
        <f t="shared" si="2"/>
        <v>1079.8799999999999</v>
      </c>
      <c r="K10" s="23">
        <f t="shared" si="3"/>
        <v>56513.72</v>
      </c>
      <c r="L10" s="9">
        <v>0.15</v>
      </c>
      <c r="M10" s="23">
        <f t="shared" si="4"/>
        <v>8477.0579999999991</v>
      </c>
      <c r="N10" s="23">
        <f t="shared" si="5"/>
        <v>48036.662000000004</v>
      </c>
    </row>
    <row r="11" spans="1:14" ht="15" customHeight="1" x14ac:dyDescent="0.35">
      <c r="A11" s="4" t="s">
        <v>26</v>
      </c>
      <c r="B11" s="4" t="s">
        <v>27</v>
      </c>
      <c r="C11" s="4" t="s">
        <v>21</v>
      </c>
      <c r="D11" s="4" t="s">
        <v>28</v>
      </c>
      <c r="E11" s="5">
        <v>210</v>
      </c>
      <c r="F11" s="5">
        <v>5</v>
      </c>
      <c r="G11" s="5">
        <f t="shared" si="0"/>
        <v>205</v>
      </c>
      <c r="H11" s="23">
        <v>89.99</v>
      </c>
      <c r="I11" s="23">
        <f t="shared" si="1"/>
        <v>18897.899999999998</v>
      </c>
      <c r="J11" s="23">
        <f t="shared" si="2"/>
        <v>449.95</v>
      </c>
      <c r="K11" s="23">
        <f t="shared" si="3"/>
        <v>18447.949999999997</v>
      </c>
      <c r="L11" s="6">
        <v>0.15</v>
      </c>
      <c r="M11" s="23">
        <f t="shared" si="4"/>
        <v>2767.1924999999997</v>
      </c>
      <c r="N11" s="23">
        <f t="shared" si="5"/>
        <v>15680.757499999998</v>
      </c>
    </row>
    <row r="12" spans="1:14" ht="15" customHeight="1" x14ac:dyDescent="0.35">
      <c r="A12" s="7" t="s">
        <v>29</v>
      </c>
      <c r="B12" s="7" t="s">
        <v>30</v>
      </c>
      <c r="C12" s="7" t="s">
        <v>21</v>
      </c>
      <c r="D12" s="7" t="s">
        <v>31</v>
      </c>
      <c r="E12" s="8">
        <v>430</v>
      </c>
      <c r="F12" s="8">
        <v>9</v>
      </c>
      <c r="G12" s="8">
        <f t="shared" si="0"/>
        <v>421</v>
      </c>
      <c r="H12" s="23">
        <v>84.99</v>
      </c>
      <c r="I12" s="23">
        <f t="shared" si="1"/>
        <v>36545.699999999997</v>
      </c>
      <c r="J12" s="23">
        <f t="shared" si="2"/>
        <v>764.91</v>
      </c>
      <c r="K12" s="23">
        <f t="shared" si="3"/>
        <v>35780.789999999994</v>
      </c>
      <c r="L12" s="9">
        <v>0.15</v>
      </c>
      <c r="M12" s="23">
        <f t="shared" si="4"/>
        <v>5367.1184999999987</v>
      </c>
      <c r="N12" s="23">
        <f t="shared" si="5"/>
        <v>30413.671499999997</v>
      </c>
    </row>
    <row r="13" spans="1:14" ht="15" customHeight="1" x14ac:dyDescent="0.35">
      <c r="A13" s="4" t="s">
        <v>32</v>
      </c>
      <c r="B13" s="4" t="s">
        <v>33</v>
      </c>
      <c r="C13" s="4" t="s">
        <v>34</v>
      </c>
      <c r="D13" s="4" t="s">
        <v>31</v>
      </c>
      <c r="E13" s="5">
        <v>310</v>
      </c>
      <c r="F13" s="5">
        <v>6</v>
      </c>
      <c r="G13" s="5">
        <f t="shared" si="0"/>
        <v>304</v>
      </c>
      <c r="H13" s="23">
        <v>59.99</v>
      </c>
      <c r="I13" s="23">
        <f t="shared" si="1"/>
        <v>18596.900000000001</v>
      </c>
      <c r="J13" s="23">
        <f t="shared" si="2"/>
        <v>359.94</v>
      </c>
      <c r="K13" s="23">
        <f t="shared" si="3"/>
        <v>18236.960000000003</v>
      </c>
      <c r="L13" s="6">
        <v>0.15</v>
      </c>
      <c r="M13" s="23">
        <f t="shared" si="4"/>
        <v>2735.5440000000003</v>
      </c>
      <c r="N13" s="23">
        <f t="shared" si="5"/>
        <v>15501.416000000003</v>
      </c>
    </row>
    <row r="14" spans="1:14" ht="15" customHeight="1" x14ac:dyDescent="0.35">
      <c r="A14" s="7" t="s">
        <v>35</v>
      </c>
      <c r="B14" s="7" t="s">
        <v>36</v>
      </c>
      <c r="C14" s="7" t="s">
        <v>37</v>
      </c>
      <c r="D14" s="7" t="s">
        <v>31</v>
      </c>
      <c r="E14" s="8">
        <v>185</v>
      </c>
      <c r="F14" s="8">
        <v>4</v>
      </c>
      <c r="G14" s="8">
        <f t="shared" si="0"/>
        <v>181</v>
      </c>
      <c r="H14" s="23">
        <v>74.989999999999995</v>
      </c>
      <c r="I14" s="23">
        <f t="shared" si="1"/>
        <v>13873.15</v>
      </c>
      <c r="J14" s="23">
        <f t="shared" si="2"/>
        <v>299.95999999999998</v>
      </c>
      <c r="K14" s="23">
        <f t="shared" si="3"/>
        <v>13573.19</v>
      </c>
      <c r="L14" s="9">
        <v>0.15</v>
      </c>
      <c r="M14" s="23">
        <f t="shared" si="4"/>
        <v>2035.9784999999999</v>
      </c>
      <c r="N14" s="23">
        <f t="shared" si="5"/>
        <v>11537.211500000001</v>
      </c>
    </row>
    <row r="15" spans="1:14" ht="15" customHeight="1" x14ac:dyDescent="0.35">
      <c r="A15" s="4" t="s">
        <v>38</v>
      </c>
      <c r="B15" s="4" t="s">
        <v>39</v>
      </c>
      <c r="C15" s="4" t="s">
        <v>40</v>
      </c>
      <c r="D15" s="4" t="s">
        <v>41</v>
      </c>
      <c r="E15" s="5">
        <v>270</v>
      </c>
      <c r="F15" s="5">
        <v>7</v>
      </c>
      <c r="G15" s="5">
        <f t="shared" si="0"/>
        <v>263</v>
      </c>
      <c r="H15" s="23">
        <v>49.99</v>
      </c>
      <c r="I15" s="23">
        <f t="shared" si="1"/>
        <v>13497.300000000001</v>
      </c>
      <c r="J15" s="23">
        <f t="shared" si="2"/>
        <v>349.93</v>
      </c>
      <c r="K15" s="23">
        <f t="shared" si="3"/>
        <v>13147.37</v>
      </c>
      <c r="L15" s="6">
        <v>0.15</v>
      </c>
      <c r="M15" s="23">
        <f t="shared" si="4"/>
        <v>1972.1055000000001</v>
      </c>
      <c r="N15" s="23">
        <f t="shared" si="5"/>
        <v>11175.264500000001</v>
      </c>
    </row>
    <row r="16" spans="1:14" ht="15" customHeight="1" x14ac:dyDescent="0.35">
      <c r="A16" s="7" t="s">
        <v>42</v>
      </c>
      <c r="B16" s="7" t="s">
        <v>43</v>
      </c>
      <c r="C16" s="7" t="s">
        <v>40</v>
      </c>
      <c r="D16" s="7" t="s">
        <v>31</v>
      </c>
      <c r="E16" s="8">
        <v>390</v>
      </c>
      <c r="F16" s="8">
        <v>11</v>
      </c>
      <c r="G16" s="8">
        <f t="shared" si="0"/>
        <v>379</v>
      </c>
      <c r="H16" s="23">
        <v>54.99</v>
      </c>
      <c r="I16" s="23">
        <f t="shared" si="1"/>
        <v>21446.100000000002</v>
      </c>
      <c r="J16" s="23">
        <f t="shared" si="2"/>
        <v>604.89</v>
      </c>
      <c r="K16" s="23">
        <f t="shared" si="3"/>
        <v>20841.210000000003</v>
      </c>
      <c r="L16" s="9">
        <v>0.15</v>
      </c>
      <c r="M16" s="23">
        <f t="shared" si="4"/>
        <v>3126.1815000000001</v>
      </c>
      <c r="N16" s="23">
        <f t="shared" si="5"/>
        <v>17715.028500000004</v>
      </c>
    </row>
    <row r="17" spans="1:14" ht="15" customHeight="1" x14ac:dyDescent="0.35">
      <c r="A17" s="4" t="s">
        <v>44</v>
      </c>
      <c r="B17" s="4" t="s">
        <v>45</v>
      </c>
      <c r="C17" s="4" t="s">
        <v>46</v>
      </c>
      <c r="D17" s="4" t="s">
        <v>31</v>
      </c>
      <c r="E17" s="5">
        <v>540</v>
      </c>
      <c r="F17" s="5">
        <v>14</v>
      </c>
      <c r="G17" s="5">
        <f t="shared" si="0"/>
        <v>526</v>
      </c>
      <c r="H17" s="23">
        <v>24.99</v>
      </c>
      <c r="I17" s="23">
        <f t="shared" si="1"/>
        <v>13494.599999999999</v>
      </c>
      <c r="J17" s="23">
        <f t="shared" si="2"/>
        <v>349.85999999999996</v>
      </c>
      <c r="K17" s="23">
        <f t="shared" si="3"/>
        <v>13144.739999999998</v>
      </c>
      <c r="L17" s="6">
        <v>0.15</v>
      </c>
      <c r="M17" s="23">
        <f t="shared" si="4"/>
        <v>1971.7109999999996</v>
      </c>
      <c r="N17" s="23">
        <f t="shared" si="5"/>
        <v>11173.028999999999</v>
      </c>
    </row>
    <row r="18" spans="1:14" ht="15" customHeight="1" x14ac:dyDescent="0.35">
      <c r="A18" s="7" t="s">
        <v>47</v>
      </c>
      <c r="B18" s="7" t="s">
        <v>48</v>
      </c>
      <c r="C18" s="7" t="s">
        <v>46</v>
      </c>
      <c r="D18" s="7" t="s">
        <v>31</v>
      </c>
      <c r="E18" s="8">
        <v>720</v>
      </c>
      <c r="F18" s="8">
        <v>20</v>
      </c>
      <c r="G18" s="8">
        <f t="shared" si="0"/>
        <v>700</v>
      </c>
      <c r="H18" s="23">
        <v>19.989999999999998</v>
      </c>
      <c r="I18" s="23">
        <f t="shared" si="1"/>
        <v>14392.8</v>
      </c>
      <c r="J18" s="23">
        <f t="shared" si="2"/>
        <v>399.79999999999995</v>
      </c>
      <c r="K18" s="23">
        <f t="shared" si="3"/>
        <v>13993</v>
      </c>
      <c r="L18" s="9">
        <v>0.15</v>
      </c>
      <c r="M18" s="23">
        <f t="shared" si="4"/>
        <v>2098.9499999999998</v>
      </c>
      <c r="N18" s="23">
        <f t="shared" si="5"/>
        <v>11894.05</v>
      </c>
    </row>
    <row r="19" spans="1:14" ht="15" customHeight="1" x14ac:dyDescent="0.35">
      <c r="A19" s="4" t="s">
        <v>49</v>
      </c>
      <c r="B19" s="4" t="s">
        <v>50</v>
      </c>
      <c r="C19" s="4" t="s">
        <v>46</v>
      </c>
      <c r="D19" s="4" t="s">
        <v>51</v>
      </c>
      <c r="E19" s="5">
        <v>860</v>
      </c>
      <c r="F19" s="5">
        <v>22</v>
      </c>
      <c r="G19" s="5">
        <f t="shared" si="0"/>
        <v>838</v>
      </c>
      <c r="H19" s="23">
        <v>12.99</v>
      </c>
      <c r="I19" s="23">
        <f t="shared" si="1"/>
        <v>11171.4</v>
      </c>
      <c r="J19" s="23">
        <f t="shared" si="2"/>
        <v>285.78000000000003</v>
      </c>
      <c r="K19" s="23">
        <f t="shared" si="3"/>
        <v>10885.619999999999</v>
      </c>
      <c r="L19" s="6">
        <v>0.15</v>
      </c>
      <c r="M19" s="23">
        <f t="shared" si="4"/>
        <v>1632.8429999999998</v>
      </c>
      <c r="N19" s="23">
        <f t="shared" si="5"/>
        <v>9252.7769999999982</v>
      </c>
    </row>
    <row r="20" spans="1:14" ht="15" customHeight="1" x14ac:dyDescent="0.35">
      <c r="A20" s="7" t="s">
        <v>52</v>
      </c>
      <c r="B20" s="7" t="s">
        <v>53</v>
      </c>
      <c r="C20" s="7" t="s">
        <v>54</v>
      </c>
      <c r="D20" s="7" t="s">
        <v>31</v>
      </c>
      <c r="E20" s="8">
        <v>430</v>
      </c>
      <c r="F20" s="8">
        <v>10</v>
      </c>
      <c r="G20" s="8">
        <f t="shared" si="0"/>
        <v>420</v>
      </c>
      <c r="H20" s="23">
        <v>14.99</v>
      </c>
      <c r="I20" s="23">
        <f t="shared" si="1"/>
        <v>6445.7</v>
      </c>
      <c r="J20" s="23">
        <f t="shared" si="2"/>
        <v>149.9</v>
      </c>
      <c r="K20" s="23">
        <f t="shared" si="3"/>
        <v>6295.8</v>
      </c>
      <c r="L20" s="9">
        <v>0.15</v>
      </c>
      <c r="M20" s="23">
        <f t="shared" si="4"/>
        <v>944.37</v>
      </c>
      <c r="N20" s="23">
        <f t="shared" si="5"/>
        <v>5351.43</v>
      </c>
    </row>
    <row r="21" spans="1:14" ht="15" customHeight="1" x14ac:dyDescent="0.35">
      <c r="A21" s="4" t="s">
        <v>55</v>
      </c>
      <c r="B21" s="4" t="s">
        <v>56</v>
      </c>
      <c r="C21" s="4" t="s">
        <v>54</v>
      </c>
      <c r="D21" s="4" t="s">
        <v>31</v>
      </c>
      <c r="E21" s="5">
        <v>290</v>
      </c>
      <c r="F21" s="5">
        <v>8</v>
      </c>
      <c r="G21" s="5">
        <f t="shared" si="0"/>
        <v>282</v>
      </c>
      <c r="H21" s="23">
        <v>22.99</v>
      </c>
      <c r="I21" s="23">
        <f t="shared" si="1"/>
        <v>6667.0999999999995</v>
      </c>
      <c r="J21" s="23">
        <f t="shared" si="2"/>
        <v>183.92</v>
      </c>
      <c r="K21" s="23">
        <f t="shared" si="3"/>
        <v>6483.1799999999994</v>
      </c>
      <c r="L21" s="6">
        <v>0.15</v>
      </c>
      <c r="M21" s="23">
        <f t="shared" si="4"/>
        <v>972.47699999999986</v>
      </c>
      <c r="N21" s="23">
        <f t="shared" si="5"/>
        <v>5510.7029999999995</v>
      </c>
    </row>
    <row r="22" spans="1:14" ht="15" customHeight="1" x14ac:dyDescent="0.35">
      <c r="A22" s="7" t="s">
        <v>57</v>
      </c>
      <c r="B22" s="7" t="s">
        <v>58</v>
      </c>
      <c r="C22" s="7" t="s">
        <v>59</v>
      </c>
      <c r="D22" s="7" t="s">
        <v>22</v>
      </c>
      <c r="E22" s="8">
        <v>120</v>
      </c>
      <c r="F22" s="8">
        <v>2</v>
      </c>
      <c r="G22" s="8">
        <f t="shared" si="0"/>
        <v>118</v>
      </c>
      <c r="H22" s="23">
        <v>34.99</v>
      </c>
      <c r="I22" s="23">
        <f t="shared" si="1"/>
        <v>4198.8</v>
      </c>
      <c r="J22" s="23">
        <f t="shared" si="2"/>
        <v>69.98</v>
      </c>
      <c r="K22" s="23">
        <f t="shared" si="3"/>
        <v>4128.8200000000006</v>
      </c>
      <c r="L22" s="9">
        <v>0.15</v>
      </c>
      <c r="M22" s="23">
        <f t="shared" si="4"/>
        <v>619.32300000000009</v>
      </c>
      <c r="N22" s="23">
        <f t="shared" si="5"/>
        <v>3509.4970000000003</v>
      </c>
    </row>
    <row r="23" spans="1:14" ht="15" customHeight="1" x14ac:dyDescent="0.35">
      <c r="A23" s="4" t="s">
        <v>60</v>
      </c>
      <c r="B23" s="4" t="s">
        <v>61</v>
      </c>
      <c r="C23" s="4" t="s">
        <v>59</v>
      </c>
      <c r="D23" s="4" t="s">
        <v>25</v>
      </c>
      <c r="E23" s="5">
        <v>95</v>
      </c>
      <c r="F23" s="5">
        <v>1</v>
      </c>
      <c r="G23" s="5">
        <f t="shared" si="0"/>
        <v>94</v>
      </c>
      <c r="H23" s="23">
        <v>34.99</v>
      </c>
      <c r="I23" s="23">
        <f t="shared" si="1"/>
        <v>3324.05</v>
      </c>
      <c r="J23" s="23">
        <f t="shared" si="2"/>
        <v>34.99</v>
      </c>
      <c r="K23" s="23">
        <f t="shared" si="3"/>
        <v>3289.0600000000004</v>
      </c>
      <c r="L23" s="6">
        <v>0.15</v>
      </c>
      <c r="M23" s="23">
        <f t="shared" si="4"/>
        <v>493.35900000000004</v>
      </c>
      <c r="N23" s="23">
        <f t="shared" si="5"/>
        <v>2795.7010000000005</v>
      </c>
    </row>
    <row r="24" spans="1:14" ht="15" customHeight="1" x14ac:dyDescent="0.35">
      <c r="A24" s="10" t="s">
        <v>62</v>
      </c>
      <c r="B24" s="11"/>
      <c r="C24" s="11"/>
      <c r="D24" s="11"/>
      <c r="E24" s="12">
        <f>SUM(E9:E23)</f>
        <v>6310</v>
      </c>
      <c r="F24" s="12">
        <f>SUM(F9:F23)</f>
        <v>149</v>
      </c>
      <c r="G24" s="12">
        <f>SUM(G9:G23)</f>
        <v>6161</v>
      </c>
      <c r="H24" s="27"/>
      <c r="I24" s="28">
        <f>SUM(I9:I23)</f>
        <v>313936.89999999997</v>
      </c>
      <c r="J24" s="28">
        <f>SUM(J9:J23)</f>
        <v>7003.5099999999984</v>
      </c>
      <c r="K24" s="28">
        <f>SUM(K9:K23)</f>
        <v>306933.38999999996</v>
      </c>
      <c r="L24" s="29"/>
      <c r="M24" s="28">
        <f>SUM(M9:M23)</f>
        <v>46040.008499999996</v>
      </c>
      <c r="N24" s="28">
        <f>SUM(N9:N23)</f>
        <v>260893.38149999999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showGridLines="0" zoomScaleNormal="100" workbookViewId="0">
      <pane ySplit="6" topLeftCell="A7" activePane="bottomLeft" state="frozen"/>
      <selection pane="bottomLeft" activeCell="K1" sqref="K1"/>
    </sheetView>
  </sheetViews>
  <sheetFormatPr defaultColWidth="8.6328125" defaultRowHeight="14.5" x14ac:dyDescent="0.35"/>
  <cols>
    <col min="1" max="1" width="14" customWidth="1"/>
    <col min="2" max="2" width="34" customWidth="1"/>
    <col min="3" max="3" width="20" customWidth="1"/>
    <col min="4" max="4" width="12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8" customWidth="1"/>
  </cols>
  <sheetData>
    <row r="1" spans="1:11" ht="15" customHeight="1" x14ac:dyDescent="0.35">
      <c r="A1" s="1" t="s">
        <v>4</v>
      </c>
      <c r="B1" s="2" t="s">
        <v>119</v>
      </c>
    </row>
    <row r="2" spans="1:11" ht="15" customHeight="1" x14ac:dyDescent="0.35">
      <c r="A2" s="1" t="s">
        <v>63</v>
      </c>
      <c r="B2" s="2" t="s">
        <v>64</v>
      </c>
    </row>
    <row r="3" spans="1:11" ht="15" customHeight="1" x14ac:dyDescent="0.35">
      <c r="A3" s="1" t="s">
        <v>65</v>
      </c>
      <c r="B3" s="2" t="s">
        <v>66</v>
      </c>
    </row>
    <row r="4" spans="1:11" ht="15" customHeight="1" x14ac:dyDescent="0.35">
      <c r="A4" s="1" t="s">
        <v>67</v>
      </c>
      <c r="B4" s="2" t="s">
        <v>8</v>
      </c>
    </row>
    <row r="5" spans="1:11" ht="7.5" customHeight="1" x14ac:dyDescent="0.35"/>
    <row r="6" spans="1:11" ht="39.75" customHeight="1" x14ac:dyDescent="0.35">
      <c r="A6" s="13" t="s">
        <v>68</v>
      </c>
      <c r="B6" s="13" t="s">
        <v>12</v>
      </c>
      <c r="C6" s="13" t="s">
        <v>111</v>
      </c>
      <c r="D6" s="13" t="s">
        <v>69</v>
      </c>
      <c r="E6" s="13" t="s">
        <v>70</v>
      </c>
      <c r="F6" s="13" t="s">
        <v>71</v>
      </c>
      <c r="G6" s="13" t="s">
        <v>72</v>
      </c>
      <c r="H6" s="13" t="s">
        <v>112</v>
      </c>
      <c r="I6" s="13" t="s">
        <v>113</v>
      </c>
      <c r="J6" s="13" t="s">
        <v>114</v>
      </c>
      <c r="K6" s="13" t="s">
        <v>115</v>
      </c>
    </row>
    <row r="7" spans="1:11" ht="15" customHeight="1" x14ac:dyDescent="0.35">
      <c r="A7" s="4" t="s">
        <v>19</v>
      </c>
      <c r="B7" s="4" t="str">
        <f>'Seller Sales Report'!B9</f>
        <v>Home Jersey – #10 A. Santos</v>
      </c>
      <c r="C7" s="25">
        <f>'Seller Sales Report'!N9</f>
        <v>61346.182999999997</v>
      </c>
      <c r="D7" s="14">
        <v>0.1</v>
      </c>
      <c r="E7" s="14">
        <v>0</v>
      </c>
      <c r="F7" s="14">
        <v>0</v>
      </c>
      <c r="G7" s="6">
        <f t="shared" ref="G7:G21" si="0">D7+E7+F7</f>
        <v>0.1</v>
      </c>
      <c r="H7" s="25">
        <f t="shared" ref="H7:H21" si="1">C7*D7</f>
        <v>6134.6183000000001</v>
      </c>
      <c r="I7" s="25">
        <f t="shared" ref="I7:I21" si="2">C7*E7</f>
        <v>0</v>
      </c>
      <c r="J7" s="25">
        <f t="shared" ref="J7:J21" si="3">C7*F7</f>
        <v>0</v>
      </c>
      <c r="K7" s="25">
        <f t="shared" ref="K7:K21" si="4">C7-H7-I7-J7</f>
        <v>55211.564699999995</v>
      </c>
    </row>
    <row r="8" spans="1:11" ht="15" customHeight="1" x14ac:dyDescent="0.35">
      <c r="A8" s="7" t="s">
        <v>23</v>
      </c>
      <c r="B8" s="7" t="str">
        <f>'Seller Sales Report'!B10</f>
        <v>Away Jersey – #7 T. Nakamura</v>
      </c>
      <c r="C8" s="24">
        <f>'Seller Sales Report'!N10</f>
        <v>48036.662000000004</v>
      </c>
      <c r="D8" s="15">
        <v>0.1</v>
      </c>
      <c r="E8" s="15">
        <v>0</v>
      </c>
      <c r="F8" s="15">
        <v>0</v>
      </c>
      <c r="G8" s="9">
        <f t="shared" si="0"/>
        <v>0.1</v>
      </c>
      <c r="H8" s="24">
        <f t="shared" si="1"/>
        <v>4803.6662000000006</v>
      </c>
      <c r="I8" s="24">
        <f t="shared" si="2"/>
        <v>0</v>
      </c>
      <c r="J8" s="24">
        <f t="shared" si="3"/>
        <v>0</v>
      </c>
      <c r="K8" s="24">
        <f t="shared" si="4"/>
        <v>43232.995800000004</v>
      </c>
    </row>
    <row r="9" spans="1:11" ht="15" customHeight="1" x14ac:dyDescent="0.35">
      <c r="A9" s="4" t="s">
        <v>26</v>
      </c>
      <c r="B9" s="4" t="str">
        <f>'Seller Sales Report'!B11</f>
        <v>Goalkeeper Jersey – #1 P. Osei</v>
      </c>
      <c r="C9" s="25">
        <f>'Seller Sales Report'!N11</f>
        <v>15680.757499999998</v>
      </c>
      <c r="D9" s="14">
        <v>0.08</v>
      </c>
      <c r="E9" s="14">
        <v>0</v>
      </c>
      <c r="F9" s="14">
        <v>0</v>
      </c>
      <c r="G9" s="6">
        <f t="shared" si="0"/>
        <v>0.08</v>
      </c>
      <c r="H9" s="25">
        <f t="shared" si="1"/>
        <v>1254.4605999999999</v>
      </c>
      <c r="I9" s="25">
        <f t="shared" si="2"/>
        <v>0</v>
      </c>
      <c r="J9" s="25">
        <f t="shared" si="3"/>
        <v>0</v>
      </c>
      <c r="K9" s="25">
        <f t="shared" si="4"/>
        <v>14426.296899999998</v>
      </c>
    </row>
    <row r="10" spans="1:11" ht="15" customHeight="1" x14ac:dyDescent="0.35">
      <c r="A10" s="7" t="s">
        <v>29</v>
      </c>
      <c r="B10" s="7" t="str">
        <f>'Seller Sales Report'!B12</f>
        <v>Third Jersey – Club Crest Only</v>
      </c>
      <c r="C10" s="24">
        <f>'Seller Sales Report'!N12</f>
        <v>30413.671499999997</v>
      </c>
      <c r="D10" s="15">
        <v>0</v>
      </c>
      <c r="E10" s="15">
        <v>0</v>
      </c>
      <c r="F10" s="15">
        <v>0</v>
      </c>
      <c r="G10" s="9">
        <f t="shared" si="0"/>
        <v>0</v>
      </c>
      <c r="H10" s="24">
        <f t="shared" si="1"/>
        <v>0</v>
      </c>
      <c r="I10" s="24">
        <f t="shared" si="2"/>
        <v>0</v>
      </c>
      <c r="J10" s="24">
        <f t="shared" si="3"/>
        <v>0</v>
      </c>
      <c r="K10" s="24">
        <f t="shared" si="4"/>
        <v>30413.671499999997</v>
      </c>
    </row>
    <row r="11" spans="1:11" ht="15" customHeight="1" x14ac:dyDescent="0.35">
      <c r="A11" s="4" t="s">
        <v>32</v>
      </c>
      <c r="B11" s="4" t="str">
        <f>'Seller Sales Report'!B13</f>
        <v>Kids Kit Set (Home)</v>
      </c>
      <c r="C11" s="25">
        <f>'Seller Sales Report'!N13</f>
        <v>15501.416000000003</v>
      </c>
      <c r="D11" s="14">
        <v>0</v>
      </c>
      <c r="E11" s="14">
        <v>0</v>
      </c>
      <c r="F11" s="14">
        <v>0</v>
      </c>
      <c r="G11" s="6">
        <f t="shared" si="0"/>
        <v>0</v>
      </c>
      <c r="H11" s="25">
        <f t="shared" si="1"/>
        <v>0</v>
      </c>
      <c r="I11" s="25">
        <f t="shared" si="2"/>
        <v>0</v>
      </c>
      <c r="J11" s="25">
        <f t="shared" si="3"/>
        <v>0</v>
      </c>
      <c r="K11" s="25">
        <f t="shared" si="4"/>
        <v>15501.416000000003</v>
      </c>
    </row>
    <row r="12" spans="1:11" ht="15" customHeight="1" x14ac:dyDescent="0.35">
      <c r="A12" s="7" t="s">
        <v>35</v>
      </c>
      <c r="B12" s="7" t="str">
        <f>'Seller Sales Report'!B14</f>
        <v>Training Tracksuit</v>
      </c>
      <c r="C12" s="24">
        <f>'Seller Sales Report'!N14</f>
        <v>11537.211500000001</v>
      </c>
      <c r="D12" s="15">
        <v>0</v>
      </c>
      <c r="E12" s="15">
        <v>0</v>
      </c>
      <c r="F12" s="15">
        <v>0</v>
      </c>
      <c r="G12" s="9">
        <f t="shared" si="0"/>
        <v>0</v>
      </c>
      <c r="H12" s="24">
        <f t="shared" si="1"/>
        <v>0</v>
      </c>
      <c r="I12" s="24">
        <f t="shared" si="2"/>
        <v>0</v>
      </c>
      <c r="J12" s="24">
        <f t="shared" si="3"/>
        <v>0</v>
      </c>
      <c r="K12" s="24">
        <f t="shared" si="4"/>
        <v>11537.211500000001</v>
      </c>
    </row>
    <row r="13" spans="1:11" ht="15" customHeight="1" x14ac:dyDescent="0.35">
      <c r="A13" s="4" t="s">
        <v>38</v>
      </c>
      <c r="B13" s="4" t="str">
        <f>'Seller Sales Report'!B15</f>
        <v>Collab Polo – FC Eastdale</v>
      </c>
      <c r="C13" s="25">
        <f>'Seller Sales Report'!N15</f>
        <v>11175.264500000001</v>
      </c>
      <c r="D13" s="14">
        <v>0</v>
      </c>
      <c r="E13" s="14">
        <v>0.2</v>
      </c>
      <c r="F13" s="14">
        <v>0</v>
      </c>
      <c r="G13" s="6">
        <f t="shared" si="0"/>
        <v>0.2</v>
      </c>
      <c r="H13" s="25">
        <f t="shared" si="1"/>
        <v>0</v>
      </c>
      <c r="I13" s="25">
        <f t="shared" si="2"/>
        <v>2235.0529000000001</v>
      </c>
      <c r="J13" s="25">
        <f t="shared" si="3"/>
        <v>0</v>
      </c>
      <c r="K13" s="25">
        <f t="shared" si="4"/>
        <v>8940.2116000000005</v>
      </c>
    </row>
    <row r="14" spans="1:11" ht="15" customHeight="1" x14ac:dyDescent="0.35">
      <c r="A14" s="7" t="s">
        <v>42</v>
      </c>
      <c r="B14" s="7" t="str">
        <f>'Seller Sales Report'!B16</f>
        <v>Club Hoodie</v>
      </c>
      <c r="C14" s="24">
        <f>'Seller Sales Report'!N16</f>
        <v>17715.028500000004</v>
      </c>
      <c r="D14" s="15">
        <v>0</v>
      </c>
      <c r="E14" s="15">
        <v>0</v>
      </c>
      <c r="F14" s="15">
        <v>0</v>
      </c>
      <c r="G14" s="9">
        <f t="shared" si="0"/>
        <v>0</v>
      </c>
      <c r="H14" s="24">
        <f t="shared" si="1"/>
        <v>0</v>
      </c>
      <c r="I14" s="24">
        <f t="shared" si="2"/>
        <v>0</v>
      </c>
      <c r="J14" s="24">
        <f t="shared" si="3"/>
        <v>0</v>
      </c>
      <c r="K14" s="24">
        <f t="shared" si="4"/>
        <v>17715.028500000004</v>
      </c>
    </row>
    <row r="15" spans="1:11" ht="15" customHeight="1" x14ac:dyDescent="0.35">
      <c r="A15" s="4" t="s">
        <v>44</v>
      </c>
      <c r="B15" s="4" t="str">
        <f>'Seller Sales Report'!B17</f>
        <v>Snapback Cap – Club Crest</v>
      </c>
      <c r="C15" s="25">
        <f>'Seller Sales Report'!N17</f>
        <v>11173.028999999999</v>
      </c>
      <c r="D15" s="14">
        <v>0</v>
      </c>
      <c r="E15" s="14">
        <v>0</v>
      </c>
      <c r="F15" s="14">
        <v>0</v>
      </c>
      <c r="G15" s="6">
        <f t="shared" si="0"/>
        <v>0</v>
      </c>
      <c r="H15" s="25">
        <f t="shared" si="1"/>
        <v>0</v>
      </c>
      <c r="I15" s="25">
        <f t="shared" si="2"/>
        <v>0</v>
      </c>
      <c r="J15" s="25">
        <f t="shared" si="3"/>
        <v>0</v>
      </c>
      <c r="K15" s="25">
        <f t="shared" si="4"/>
        <v>11173.028999999999</v>
      </c>
    </row>
    <row r="16" spans="1:11" ht="15" customHeight="1" x14ac:dyDescent="0.35">
      <c r="A16" s="7" t="s">
        <v>47</v>
      </c>
      <c r="B16" s="7" t="str">
        <f>'Seller Sales Report'!B18</f>
        <v>Club Scarf</v>
      </c>
      <c r="C16" s="24">
        <f>'Seller Sales Report'!N18</f>
        <v>11894.05</v>
      </c>
      <c r="D16" s="15">
        <v>0</v>
      </c>
      <c r="E16" s="15">
        <v>0</v>
      </c>
      <c r="F16" s="15">
        <v>0</v>
      </c>
      <c r="G16" s="9">
        <f t="shared" si="0"/>
        <v>0</v>
      </c>
      <c r="H16" s="24">
        <f t="shared" si="1"/>
        <v>0</v>
      </c>
      <c r="I16" s="24">
        <f t="shared" si="2"/>
        <v>0</v>
      </c>
      <c r="J16" s="24">
        <f t="shared" si="3"/>
        <v>0</v>
      </c>
      <c r="K16" s="24">
        <f t="shared" si="4"/>
        <v>11894.05</v>
      </c>
    </row>
    <row r="17" spans="1:11" ht="15" customHeight="1" x14ac:dyDescent="0.35">
      <c r="A17" s="4" t="s">
        <v>49</v>
      </c>
      <c r="B17" s="4" t="str">
        <f>'Seller Sales Report'!B19</f>
        <v>Keychain &amp; Badge Set</v>
      </c>
      <c r="C17" s="25">
        <f>'Seller Sales Report'!N19</f>
        <v>9252.7769999999982</v>
      </c>
      <c r="D17" s="14">
        <v>0</v>
      </c>
      <c r="E17" s="14">
        <v>0</v>
      </c>
      <c r="F17" s="14">
        <v>0.12</v>
      </c>
      <c r="G17" s="6">
        <f t="shared" si="0"/>
        <v>0.12</v>
      </c>
      <c r="H17" s="25">
        <f t="shared" si="1"/>
        <v>0</v>
      </c>
      <c r="I17" s="25">
        <f t="shared" si="2"/>
        <v>0</v>
      </c>
      <c r="J17" s="25">
        <f t="shared" si="3"/>
        <v>1110.3332399999997</v>
      </c>
      <c r="K17" s="25">
        <f t="shared" si="4"/>
        <v>8142.4437599999983</v>
      </c>
    </row>
    <row r="18" spans="1:11" ht="15" customHeight="1" x14ac:dyDescent="0.35">
      <c r="A18" s="7" t="s">
        <v>52</v>
      </c>
      <c r="B18" s="7" t="str">
        <f>'Seller Sales Report'!B20</f>
        <v>Club Ceramic Mug</v>
      </c>
      <c r="C18" s="24">
        <f>'Seller Sales Report'!N20</f>
        <v>5351.43</v>
      </c>
      <c r="D18" s="15">
        <v>0</v>
      </c>
      <c r="E18" s="15">
        <v>0</v>
      </c>
      <c r="F18" s="15">
        <v>0</v>
      </c>
      <c r="G18" s="9">
        <f t="shared" si="0"/>
        <v>0</v>
      </c>
      <c r="H18" s="24">
        <f t="shared" si="1"/>
        <v>0</v>
      </c>
      <c r="I18" s="24">
        <f t="shared" si="2"/>
        <v>0</v>
      </c>
      <c r="J18" s="24">
        <f t="shared" si="3"/>
        <v>0</v>
      </c>
      <c r="K18" s="24">
        <f t="shared" si="4"/>
        <v>5351.43</v>
      </c>
    </row>
    <row r="19" spans="1:11" ht="15" customHeight="1" x14ac:dyDescent="0.35">
      <c r="A19" s="4" t="s">
        <v>55</v>
      </c>
      <c r="B19" s="4" t="str">
        <f>'Seller Sales Report'!B21</f>
        <v>Water Bottle – Branded</v>
      </c>
      <c r="C19" s="25">
        <f>'Seller Sales Report'!N21</f>
        <v>5510.7029999999995</v>
      </c>
      <c r="D19" s="14">
        <v>0</v>
      </c>
      <c r="E19" s="14">
        <v>0</v>
      </c>
      <c r="F19" s="14">
        <v>0</v>
      </c>
      <c r="G19" s="6">
        <f t="shared" si="0"/>
        <v>0</v>
      </c>
      <c r="H19" s="25">
        <f t="shared" si="1"/>
        <v>0</v>
      </c>
      <c r="I19" s="25">
        <f t="shared" si="2"/>
        <v>0</v>
      </c>
      <c r="J19" s="25">
        <f t="shared" si="3"/>
        <v>0</v>
      </c>
      <c r="K19" s="25">
        <f t="shared" si="4"/>
        <v>5510.7029999999995</v>
      </c>
    </row>
    <row r="20" spans="1:11" ht="15" customHeight="1" x14ac:dyDescent="0.35">
      <c r="A20" s="7" t="s">
        <v>57</v>
      </c>
      <c r="B20" s="7" t="str">
        <f>'Seller Sales Report'!B22</f>
        <v>Signed Poster – A. Santos</v>
      </c>
      <c r="C20" s="24">
        <f>'Seller Sales Report'!N22</f>
        <v>3509.4970000000003</v>
      </c>
      <c r="D20" s="15">
        <v>0.15</v>
      </c>
      <c r="E20" s="15">
        <v>0</v>
      </c>
      <c r="F20" s="15">
        <v>0</v>
      </c>
      <c r="G20" s="9">
        <f t="shared" si="0"/>
        <v>0.15</v>
      </c>
      <c r="H20" s="24">
        <f t="shared" si="1"/>
        <v>526.42455000000007</v>
      </c>
      <c r="I20" s="24">
        <f t="shared" si="2"/>
        <v>0</v>
      </c>
      <c r="J20" s="24">
        <f t="shared" si="3"/>
        <v>0</v>
      </c>
      <c r="K20" s="24">
        <f t="shared" si="4"/>
        <v>2983.0724500000001</v>
      </c>
    </row>
    <row r="21" spans="1:11" ht="15" customHeight="1" x14ac:dyDescent="0.35">
      <c r="A21" s="4" t="s">
        <v>60</v>
      </c>
      <c r="B21" s="4" t="str">
        <f>'Seller Sales Report'!B23</f>
        <v>Signed Poster – T. Nakamura</v>
      </c>
      <c r="C21" s="25">
        <f>'Seller Sales Report'!N23</f>
        <v>2795.7010000000005</v>
      </c>
      <c r="D21" s="14">
        <v>0.15</v>
      </c>
      <c r="E21" s="14">
        <v>0</v>
      </c>
      <c r="F21" s="14">
        <v>0</v>
      </c>
      <c r="G21" s="6">
        <f t="shared" si="0"/>
        <v>0.15</v>
      </c>
      <c r="H21" s="25">
        <f t="shared" si="1"/>
        <v>419.35515000000004</v>
      </c>
      <c r="I21" s="25">
        <f t="shared" si="2"/>
        <v>0</v>
      </c>
      <c r="J21" s="25">
        <f t="shared" si="3"/>
        <v>0</v>
      </c>
      <c r="K21" s="25">
        <f t="shared" si="4"/>
        <v>2376.3458500000006</v>
      </c>
    </row>
    <row r="22" spans="1:11" ht="15" customHeight="1" x14ac:dyDescent="0.35">
      <c r="A22" s="10" t="s">
        <v>62</v>
      </c>
      <c r="B22" s="11"/>
      <c r="C22" s="26">
        <f>SUM(C7:C21)</f>
        <v>260893.38149999999</v>
      </c>
      <c r="D22" s="11"/>
      <c r="E22" s="11"/>
      <c r="F22" s="11"/>
      <c r="G22" s="16">
        <f>SUM(H22+I22+J22)/SUM(C7:C21)</f>
        <v>6.3182556971074416E-2</v>
      </c>
      <c r="H22" s="26">
        <f>SUM(H7:H21)</f>
        <v>13138.524800000001</v>
      </c>
      <c r="I22" s="26">
        <f>SUM(I7:I21)</f>
        <v>2235.0529000000001</v>
      </c>
      <c r="J22" s="26">
        <f>SUM(J7:J21)</f>
        <v>1110.3332399999997</v>
      </c>
      <c r="K22" s="26">
        <f>SUM(K7:K21)</f>
        <v>244409.47056000002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zoomScaleNormal="100" workbookViewId="0">
      <selection activeCell="E7" sqref="E7"/>
    </sheetView>
  </sheetViews>
  <sheetFormatPr defaultColWidth="8.6328125" defaultRowHeight="14.5" x14ac:dyDescent="0.35"/>
  <cols>
    <col min="1" max="1" width="28" customWidth="1"/>
    <col min="2" max="2" width="22" customWidth="1"/>
    <col min="3" max="3" width="20" customWidth="1"/>
    <col min="4" max="4" width="14" customWidth="1"/>
    <col min="5" max="5" width="18" customWidth="1"/>
    <col min="6" max="6" width="22" customWidth="1"/>
  </cols>
  <sheetData>
    <row r="1" spans="1:6" ht="15" customHeight="1" x14ac:dyDescent="0.35">
      <c r="A1" s="1" t="s">
        <v>4</v>
      </c>
      <c r="B1" s="2" t="s">
        <v>119</v>
      </c>
    </row>
    <row r="2" spans="1:6" ht="15" customHeight="1" x14ac:dyDescent="0.35">
      <c r="A2" s="1" t="s">
        <v>63</v>
      </c>
      <c r="B2" s="2" t="s">
        <v>64</v>
      </c>
    </row>
    <row r="3" spans="1:6" ht="15" customHeight="1" x14ac:dyDescent="0.35">
      <c r="A3" s="1" t="s">
        <v>73</v>
      </c>
      <c r="B3" s="2" t="s">
        <v>74</v>
      </c>
    </row>
    <row r="4" spans="1:6" ht="15" customHeight="1" x14ac:dyDescent="0.35">
      <c r="A4" s="1" t="s">
        <v>67</v>
      </c>
      <c r="B4" s="2" t="s">
        <v>8</v>
      </c>
    </row>
    <row r="5" spans="1:6" ht="7.5" customHeight="1" x14ac:dyDescent="0.35"/>
    <row r="6" spans="1:6" ht="21.75" customHeight="1" x14ac:dyDescent="0.35">
      <c r="A6" s="17" t="s">
        <v>75</v>
      </c>
      <c r="B6" s="18"/>
      <c r="C6" s="18"/>
      <c r="D6" s="18"/>
      <c r="E6" s="18"/>
      <c r="F6" s="18"/>
    </row>
    <row r="7" spans="1:6" ht="30" customHeight="1" x14ac:dyDescent="0.35">
      <c r="A7" s="13" t="s">
        <v>76</v>
      </c>
      <c r="B7" s="13" t="s">
        <v>77</v>
      </c>
      <c r="C7" s="13" t="s">
        <v>108</v>
      </c>
      <c r="D7" s="13" t="s">
        <v>78</v>
      </c>
      <c r="E7" s="13" t="s">
        <v>116</v>
      </c>
      <c r="F7" s="13" t="s">
        <v>79</v>
      </c>
    </row>
    <row r="8" spans="1:6" ht="15" customHeight="1" x14ac:dyDescent="0.35">
      <c r="A8" s="4" t="s">
        <v>80</v>
      </c>
      <c r="B8" s="4" t="s">
        <v>81</v>
      </c>
      <c r="C8" s="25">
        <f>'Revenue by SKU Summary'!C7+'Revenue by SKU Summary'!C20</f>
        <v>64855.68</v>
      </c>
      <c r="D8" s="6">
        <f>'Revenue by SKU Summary'!D7</f>
        <v>0.1</v>
      </c>
      <c r="E8" s="25">
        <f>'Revenue by SKU Summary'!H7+'Revenue by SKU Summary'!H20</f>
        <v>6661.0428499999998</v>
      </c>
      <c r="F8" s="4" t="s">
        <v>82</v>
      </c>
    </row>
    <row r="9" spans="1:6" ht="15" customHeight="1" x14ac:dyDescent="0.35">
      <c r="A9" s="7" t="s">
        <v>83</v>
      </c>
      <c r="B9" s="7" t="s">
        <v>84</v>
      </c>
      <c r="C9" s="24">
        <f>'Revenue by SKU Summary'!C8+'Revenue by SKU Summary'!C21</f>
        <v>50832.363000000005</v>
      </c>
      <c r="D9" s="9">
        <f>'Revenue by SKU Summary'!D8</f>
        <v>0.1</v>
      </c>
      <c r="E9" s="24">
        <f>'Revenue by SKU Summary'!H8+'Revenue by SKU Summary'!H21</f>
        <v>5223.0213500000009</v>
      </c>
      <c r="F9" s="7" t="s">
        <v>85</v>
      </c>
    </row>
    <row r="10" spans="1:6" ht="15" customHeight="1" x14ac:dyDescent="0.35">
      <c r="A10" s="4" t="s">
        <v>86</v>
      </c>
      <c r="B10" s="4" t="s">
        <v>26</v>
      </c>
      <c r="C10" s="25">
        <f>'Revenue by SKU Summary'!C9</f>
        <v>15680.757499999998</v>
      </c>
      <c r="D10" s="6">
        <f>'Revenue by SKU Summary'!D9</f>
        <v>0.08</v>
      </c>
      <c r="E10" s="25">
        <f>'Revenue by SKU Summary'!H9</f>
        <v>1254.4605999999999</v>
      </c>
      <c r="F10" s="4" t="s">
        <v>87</v>
      </c>
    </row>
    <row r="11" spans="1:6" ht="15" customHeight="1" x14ac:dyDescent="0.35">
      <c r="A11" s="10" t="s">
        <v>62</v>
      </c>
      <c r="B11" s="10"/>
      <c r="C11" s="26">
        <f>SUM(C8:C10)</f>
        <v>131368.80050000001</v>
      </c>
      <c r="D11" s="10"/>
      <c r="E11" s="26">
        <f>SUM(E8:E10)</f>
        <v>13138.524800000001</v>
      </c>
      <c r="F11" s="10"/>
    </row>
    <row r="12" spans="1:6" ht="12" customHeight="1" x14ac:dyDescent="0.35"/>
    <row r="13" spans="1:6" ht="21.75" customHeight="1" x14ac:dyDescent="0.35">
      <c r="A13" s="17" t="s">
        <v>88</v>
      </c>
      <c r="B13" s="18"/>
      <c r="C13" s="18"/>
      <c r="D13" s="18"/>
      <c r="E13" s="18"/>
      <c r="F13" s="18"/>
    </row>
    <row r="14" spans="1:6" ht="30" customHeight="1" x14ac:dyDescent="0.35">
      <c r="A14" s="13" t="s">
        <v>89</v>
      </c>
      <c r="B14" s="13" t="s">
        <v>77</v>
      </c>
      <c r="C14" s="13" t="s">
        <v>108</v>
      </c>
      <c r="D14" s="13" t="s">
        <v>90</v>
      </c>
      <c r="E14" s="13" t="s">
        <v>117</v>
      </c>
      <c r="F14" s="13" t="s">
        <v>79</v>
      </c>
    </row>
    <row r="15" spans="1:6" ht="15" customHeight="1" x14ac:dyDescent="0.35">
      <c r="A15" s="4" t="s">
        <v>91</v>
      </c>
      <c r="B15" s="4" t="s">
        <v>38</v>
      </c>
      <c r="C15" s="25">
        <f>'Revenue by SKU Summary'!C13</f>
        <v>11175.264500000001</v>
      </c>
      <c r="D15" s="6">
        <f>'Revenue by SKU Summary'!E13</f>
        <v>0.2</v>
      </c>
      <c r="E15" s="25">
        <f>'Revenue by SKU Summary'!I13</f>
        <v>2235.0529000000001</v>
      </c>
      <c r="F15" s="4" t="s">
        <v>92</v>
      </c>
    </row>
    <row r="16" spans="1:6" ht="15" customHeight="1" x14ac:dyDescent="0.35">
      <c r="A16" s="10" t="s">
        <v>62</v>
      </c>
      <c r="B16" s="10"/>
      <c r="C16" s="26">
        <f>SUM(C15)</f>
        <v>11175.264500000001</v>
      </c>
      <c r="D16" s="10"/>
      <c r="E16" s="26">
        <f>SUM(E15)</f>
        <v>2235.0529000000001</v>
      </c>
      <c r="F16" s="10"/>
    </row>
    <row r="17" spans="1:6" ht="12" customHeight="1" x14ac:dyDescent="0.35"/>
    <row r="18" spans="1:6" ht="21.75" customHeight="1" x14ac:dyDescent="0.35">
      <c r="A18" s="17" t="s">
        <v>93</v>
      </c>
      <c r="B18" s="18"/>
      <c r="C18" s="18"/>
      <c r="D18" s="18"/>
      <c r="E18" s="18"/>
      <c r="F18" s="18"/>
    </row>
    <row r="19" spans="1:6" ht="30" customHeight="1" x14ac:dyDescent="0.35">
      <c r="A19" s="13" t="s">
        <v>94</v>
      </c>
      <c r="B19" s="13" t="s">
        <v>77</v>
      </c>
      <c r="C19" s="13" t="s">
        <v>108</v>
      </c>
      <c r="D19" s="13" t="s">
        <v>78</v>
      </c>
      <c r="E19" s="13" t="s">
        <v>116</v>
      </c>
      <c r="F19" s="13" t="s">
        <v>79</v>
      </c>
    </row>
    <row r="20" spans="1:6" ht="15" customHeight="1" x14ac:dyDescent="0.35">
      <c r="A20" s="4" t="s">
        <v>95</v>
      </c>
      <c r="B20" s="4" t="s">
        <v>49</v>
      </c>
      <c r="C20" s="25">
        <f>'Revenue by SKU Summary'!C17</f>
        <v>9252.7769999999982</v>
      </c>
      <c r="D20" s="6">
        <f>'Revenue by SKU Summary'!F17</f>
        <v>0.12</v>
      </c>
      <c r="E20" s="25">
        <f>'Revenue by SKU Summary'!J17</f>
        <v>1110.3332399999997</v>
      </c>
      <c r="F20" s="4" t="s">
        <v>96</v>
      </c>
    </row>
    <row r="21" spans="1:6" ht="15" customHeight="1" x14ac:dyDescent="0.35">
      <c r="A21" s="10" t="s">
        <v>62</v>
      </c>
      <c r="B21" s="10"/>
      <c r="C21" s="26">
        <f>SUM(C20)</f>
        <v>9252.7769999999982</v>
      </c>
      <c r="D21" s="10"/>
      <c r="E21" s="26">
        <f>SUM(E20)</f>
        <v>1110.3332399999997</v>
      </c>
      <c r="F21" s="10"/>
    </row>
    <row r="22" spans="1:6" ht="12" customHeight="1" x14ac:dyDescent="0.35"/>
    <row r="23" spans="1:6" ht="21.75" customHeight="1" x14ac:dyDescent="0.35">
      <c r="A23" s="19" t="s">
        <v>97</v>
      </c>
      <c r="B23" s="20"/>
      <c r="C23" s="20"/>
      <c r="D23" s="20"/>
      <c r="E23" s="20"/>
      <c r="F23" s="20"/>
    </row>
    <row r="24" spans="1:6" ht="30" customHeight="1" x14ac:dyDescent="0.35">
      <c r="A24" s="21" t="s">
        <v>98</v>
      </c>
      <c r="B24" s="21" t="s">
        <v>118</v>
      </c>
      <c r="C24" s="21" t="s">
        <v>99</v>
      </c>
    </row>
    <row r="25" spans="1:6" ht="15" customHeight="1" x14ac:dyDescent="0.35">
      <c r="A25" s="7" t="s">
        <v>100</v>
      </c>
      <c r="B25" s="24">
        <f>'Revenue by SKU Summary'!C22</f>
        <v>260893.38149999999</v>
      </c>
      <c r="C25" s="9">
        <f>B25/B25</f>
        <v>1</v>
      </c>
    </row>
    <row r="26" spans="1:6" ht="15" customHeight="1" x14ac:dyDescent="0.35">
      <c r="A26" s="4" t="s">
        <v>101</v>
      </c>
      <c r="B26" s="25">
        <f>-E11</f>
        <v>-13138.524800000001</v>
      </c>
      <c r="C26" s="6">
        <f>B26/B25</f>
        <v>-5.0359747435754713E-2</v>
      </c>
    </row>
    <row r="27" spans="1:6" ht="15" customHeight="1" x14ac:dyDescent="0.35">
      <c r="A27" s="4" t="s">
        <v>102</v>
      </c>
      <c r="B27" s="25">
        <f>-E16</f>
        <v>-2235.0529000000001</v>
      </c>
      <c r="C27" s="6">
        <f>B27/B25</f>
        <v>-8.5669206598865E-3</v>
      </c>
    </row>
    <row r="28" spans="1:6" ht="15" customHeight="1" x14ac:dyDescent="0.35">
      <c r="A28" s="4" t="s">
        <v>103</v>
      </c>
      <c r="B28" s="25">
        <f>-E21</f>
        <v>-1110.3332399999997</v>
      </c>
      <c r="C28" s="6">
        <f>B28/B25</f>
        <v>-4.2558888754332001E-3</v>
      </c>
    </row>
    <row r="29" spans="1:6" ht="15" customHeight="1" x14ac:dyDescent="0.35">
      <c r="A29" s="22" t="s">
        <v>104</v>
      </c>
      <c r="B29" s="26">
        <f>B25+B26+B27+B28</f>
        <v>244409.47055999996</v>
      </c>
      <c r="C29" s="16">
        <f>B29/B25</f>
        <v>0.93681744302892545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Seller Sales Report</vt:lpstr>
      <vt:lpstr>Revenue by SKU Summary</vt:lpstr>
      <vt:lpstr>Revenue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Bhuwan Sirohi</cp:lastModifiedBy>
  <cp:revision>0</cp:revision>
  <dcterms:created xsi:type="dcterms:W3CDTF">2026-07-08T12:52:42Z</dcterms:created>
  <dcterms:modified xsi:type="dcterms:W3CDTF">2026-07-09T14:38:08Z</dcterms:modified>
  <dc:language>en-US</dc:language>
</cp:coreProperties>
</file>