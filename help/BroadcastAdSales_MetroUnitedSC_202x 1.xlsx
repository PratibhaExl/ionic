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exlservicenam-my.sharepoint.com/personal/bhuwan255576_exlservice_com/Documents/Desktop/Desktop files/"/>
    </mc:Choice>
  </mc:AlternateContent>
  <xr:revisionPtr revIDLastSave="0" documentId="8_{9C9F41C1-1B8B-45E1-8B62-3B3DD283A4AD}" xr6:coauthVersionLast="47" xr6:coauthVersionMax="47" xr10:uidLastSave="{00000000-0000-0000-0000-000000000000}"/>
  <bookViews>
    <workbookView xWindow="-110" yWindow="-110" windowWidth="19420" windowHeight="11500" tabRatio="500" activeTab="2" xr2:uid="{00000000-000D-0000-FFFF-FFFF00000000}"/>
  </bookViews>
  <sheets>
    <sheet name="Broadcast Ad Sales Log" sheetId="1" r:id="rId1"/>
    <sheet name="Revenue by Sponsor Summary" sheetId="2" r:id="rId2"/>
    <sheet name="Revenue Distribut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28" i="2" l="1"/>
  <c r="E28" i="2"/>
  <c r="D28" i="2"/>
  <c r="C28" i="2"/>
  <c r="J27" i="2"/>
  <c r="C27" i="2"/>
  <c r="J26" i="2"/>
  <c r="C26" i="2"/>
  <c r="J25" i="2"/>
  <c r="C25" i="2"/>
  <c r="J24" i="2"/>
  <c r="E24" i="2"/>
  <c r="D24" i="2"/>
  <c r="C24" i="2"/>
  <c r="J23" i="2"/>
  <c r="C23" i="2"/>
  <c r="J22" i="2"/>
  <c r="E22" i="2"/>
  <c r="D22" i="2"/>
  <c r="C22" i="2"/>
  <c r="J21" i="2"/>
  <c r="C21" i="2"/>
  <c r="J20" i="2"/>
  <c r="E20" i="2"/>
  <c r="D20" i="2"/>
  <c r="C20" i="2"/>
  <c r="J19" i="2"/>
  <c r="C19" i="2"/>
  <c r="C10" i="3" s="1"/>
  <c r="J18" i="2"/>
  <c r="C18" i="2"/>
  <c r="J17" i="2"/>
  <c r="C17" i="2"/>
  <c r="J16" i="2"/>
  <c r="D16" i="2"/>
  <c r="C16" i="2"/>
  <c r="J15" i="2"/>
  <c r="D15" i="2"/>
  <c r="C15" i="2"/>
  <c r="C9" i="3" s="1"/>
  <c r="J14" i="2"/>
  <c r="D14" i="2"/>
  <c r="C14" i="2"/>
  <c r="J13" i="2"/>
  <c r="C13" i="2"/>
  <c r="J12" i="2"/>
  <c r="D12" i="2"/>
  <c r="C12" i="2"/>
  <c r="J11" i="2"/>
  <c r="D11" i="2"/>
  <c r="C11" i="2"/>
  <c r="C8" i="3" s="1"/>
  <c r="J10" i="2"/>
  <c r="E10" i="2"/>
  <c r="D10" i="2"/>
  <c r="C10" i="2"/>
  <c r="J9" i="2"/>
  <c r="C9" i="2"/>
  <c r="J8" i="2"/>
  <c r="D8" i="2"/>
  <c r="C8" i="2"/>
  <c r="J7" i="2"/>
  <c r="D7" i="2"/>
  <c r="C7" i="2"/>
  <c r="J47" i="1"/>
  <c r="J46" i="1"/>
  <c r="J45" i="1"/>
  <c r="O44" i="1"/>
  <c r="P44" i="1" s="1"/>
  <c r="M44" i="1"/>
  <c r="O43" i="1"/>
  <c r="M43" i="1"/>
  <c r="P43" i="1" s="1"/>
  <c r="O42" i="1"/>
  <c r="M42" i="1"/>
  <c r="P42" i="1" s="1"/>
  <c r="F28" i="2" s="1"/>
  <c r="M41" i="1"/>
  <c r="D25" i="2" s="1"/>
  <c r="O40" i="1"/>
  <c r="P40" i="1" s="1"/>
  <c r="M40" i="1"/>
  <c r="M39" i="1"/>
  <c r="O38" i="1"/>
  <c r="E26" i="2" s="1"/>
  <c r="M38" i="1"/>
  <c r="P38" i="1" s="1"/>
  <c r="F26" i="2" s="1"/>
  <c r="M37" i="1"/>
  <c r="D18" i="2" s="1"/>
  <c r="O36" i="1"/>
  <c r="M36" i="1"/>
  <c r="O35" i="1"/>
  <c r="M35" i="1"/>
  <c r="O34" i="1"/>
  <c r="M34" i="1"/>
  <c r="P34" i="1" s="1"/>
  <c r="F24" i="2" s="1"/>
  <c r="M33" i="1"/>
  <c r="O32" i="1"/>
  <c r="P32" i="1" s="1"/>
  <c r="M32" i="1"/>
  <c r="O31" i="1"/>
  <c r="M31" i="1"/>
  <c r="P31" i="1" s="1"/>
  <c r="F22" i="2" s="1"/>
  <c r="O30" i="1"/>
  <c r="M30" i="1"/>
  <c r="P30" i="1" s="1"/>
  <c r="M29" i="1"/>
  <c r="D21" i="2" s="1"/>
  <c r="O28" i="1"/>
  <c r="P28" i="1" s="1"/>
  <c r="M28" i="1"/>
  <c r="O27" i="1"/>
  <c r="M27" i="1"/>
  <c r="P27" i="1" s="1"/>
  <c r="O26" i="1"/>
  <c r="M26" i="1"/>
  <c r="P26" i="1" s="1"/>
  <c r="F20" i="2" s="1"/>
  <c r="M25" i="1"/>
  <c r="O24" i="1"/>
  <c r="M24" i="1"/>
  <c r="O23" i="1"/>
  <c r="M23" i="1"/>
  <c r="P23" i="1" s="1"/>
  <c r="O22" i="1"/>
  <c r="E17" i="2" s="1"/>
  <c r="M22" i="1"/>
  <c r="P22" i="1" s="1"/>
  <c r="F17" i="2" s="1"/>
  <c r="M21" i="1"/>
  <c r="O20" i="1"/>
  <c r="P20" i="1" s="1"/>
  <c r="F15" i="2" s="1"/>
  <c r="M20" i="1"/>
  <c r="O19" i="1"/>
  <c r="M19" i="1"/>
  <c r="P19" i="1" s="1"/>
  <c r="O18" i="1"/>
  <c r="E13" i="2" s="1"/>
  <c r="M18" i="1"/>
  <c r="D13" i="2" s="1"/>
  <c r="M17" i="1"/>
  <c r="P16" i="1"/>
  <c r="F11" i="2" s="1"/>
  <c r="O16" i="1"/>
  <c r="E11" i="2" s="1"/>
  <c r="M16" i="1"/>
  <c r="O15" i="1"/>
  <c r="M15" i="1"/>
  <c r="P15" i="1" s="1"/>
  <c r="F10" i="2" s="1"/>
  <c r="O14" i="1"/>
  <c r="E9" i="2" s="1"/>
  <c r="M14" i="1"/>
  <c r="D9" i="2" s="1"/>
  <c r="M13" i="1"/>
  <c r="M46" i="1" s="1"/>
  <c r="O12" i="1"/>
  <c r="P12" i="1" s="1"/>
  <c r="M12" i="1"/>
  <c r="M47" i="1" l="1"/>
  <c r="O39" i="1"/>
  <c r="E27" i="2" s="1"/>
  <c r="D27" i="2"/>
  <c r="C29" i="2"/>
  <c r="M15" i="2"/>
  <c r="K15" i="2"/>
  <c r="N15" i="2" s="1"/>
  <c r="D9" i="3"/>
  <c r="F9" i="3" s="1"/>
  <c r="L15" i="2"/>
  <c r="E25" i="2"/>
  <c r="L10" i="2"/>
  <c r="K10" i="2"/>
  <c r="N10" i="2" s="1"/>
  <c r="M10" i="2"/>
  <c r="L22" i="2"/>
  <c r="K22" i="2"/>
  <c r="N22" i="2" s="1"/>
  <c r="M22" i="2"/>
  <c r="M28" i="2"/>
  <c r="L28" i="2"/>
  <c r="K28" i="2"/>
  <c r="N28" i="2" s="1"/>
  <c r="L26" i="2"/>
  <c r="K26" i="2"/>
  <c r="M26" i="2"/>
  <c r="N26" i="2"/>
  <c r="E18" i="2"/>
  <c r="K17" i="2"/>
  <c r="N17" i="2"/>
  <c r="M17" i="2"/>
  <c r="L17" i="2"/>
  <c r="M11" i="2"/>
  <c r="K11" i="2"/>
  <c r="N11" i="2" s="1"/>
  <c r="L11" i="2"/>
  <c r="F14" i="2"/>
  <c r="M20" i="2"/>
  <c r="L20" i="2"/>
  <c r="K20" i="2"/>
  <c r="N20" i="2" s="1"/>
  <c r="P33" i="1"/>
  <c r="F23" i="2" s="1"/>
  <c r="C11" i="3"/>
  <c r="M24" i="2"/>
  <c r="L24" i="2"/>
  <c r="K24" i="2"/>
  <c r="N24" i="2" s="1"/>
  <c r="O33" i="1"/>
  <c r="E23" i="2" s="1"/>
  <c r="O13" i="1"/>
  <c r="E8" i="2" s="1"/>
  <c r="O17" i="1"/>
  <c r="E12" i="2" s="1"/>
  <c r="O21" i="1"/>
  <c r="E16" i="2" s="1"/>
  <c r="O25" i="1"/>
  <c r="E19" i="2" s="1"/>
  <c r="O29" i="1"/>
  <c r="E21" i="2" s="1"/>
  <c r="O37" i="1"/>
  <c r="O41" i="1"/>
  <c r="M45" i="1"/>
  <c r="D19" i="2"/>
  <c r="D23" i="2"/>
  <c r="P37" i="1"/>
  <c r="P41" i="1"/>
  <c r="E7" i="2"/>
  <c r="E15" i="2"/>
  <c r="P36" i="1"/>
  <c r="D26" i="2"/>
  <c r="P14" i="1"/>
  <c r="F9" i="2" s="1"/>
  <c r="P18" i="1"/>
  <c r="F13" i="2" s="1"/>
  <c r="E14" i="2"/>
  <c r="P24" i="1"/>
  <c r="D17" i="2"/>
  <c r="P35" i="1"/>
  <c r="P39" i="1" l="1"/>
  <c r="F27" i="2" s="1"/>
  <c r="K27" i="2" s="1"/>
  <c r="D29" i="2"/>
  <c r="B25" i="3" s="1"/>
  <c r="C25" i="3" s="1"/>
  <c r="O47" i="1"/>
  <c r="M27" i="2"/>
  <c r="O45" i="1"/>
  <c r="E29" i="2"/>
  <c r="B26" i="3" s="1"/>
  <c r="F18" i="2"/>
  <c r="P21" i="1"/>
  <c r="F16" i="2" s="1"/>
  <c r="P13" i="1"/>
  <c r="L14" i="2"/>
  <c r="K14" i="2"/>
  <c r="N14" i="2" s="1"/>
  <c r="M14" i="2"/>
  <c r="K13" i="2"/>
  <c r="N13" i="2" s="1"/>
  <c r="L13" i="2"/>
  <c r="M13" i="2"/>
  <c r="F7" i="2"/>
  <c r="C20" i="3"/>
  <c r="K9" i="2"/>
  <c r="M9" i="2"/>
  <c r="L9" i="2"/>
  <c r="N9" i="2" s="1"/>
  <c r="M23" i="2"/>
  <c r="K23" i="2"/>
  <c r="N23" i="2"/>
  <c r="L23" i="2"/>
  <c r="P29" i="1"/>
  <c r="F21" i="2" s="1"/>
  <c r="O46" i="1"/>
  <c r="F25" i="2"/>
  <c r="P17" i="1"/>
  <c r="F12" i="2" s="1"/>
  <c r="P25" i="1"/>
  <c r="F19" i="2" s="1"/>
  <c r="C26" i="3" l="1"/>
  <c r="L27" i="2"/>
  <c r="N27" i="2" s="1"/>
  <c r="P47" i="1"/>
  <c r="F8" i="2"/>
  <c r="P45" i="1"/>
  <c r="P46" i="1"/>
  <c r="C21" i="3"/>
  <c r="E20" i="3"/>
  <c r="F29" i="2"/>
  <c r="C15" i="3" s="1"/>
  <c r="M7" i="2"/>
  <c r="K7" i="2"/>
  <c r="N7" i="2" s="1"/>
  <c r="L7" i="2"/>
  <c r="M16" i="2"/>
  <c r="N16" i="2" s="1"/>
  <c r="L16" i="2"/>
  <c r="K16" i="2"/>
  <c r="D10" i="3"/>
  <c r="F10" i="3" s="1"/>
  <c r="K19" i="2"/>
  <c r="M19" i="2"/>
  <c r="L19" i="2"/>
  <c r="N19" i="2" s="1"/>
  <c r="M12" i="2"/>
  <c r="L12" i="2"/>
  <c r="K12" i="2"/>
  <c r="N12" i="2" s="1"/>
  <c r="L18" i="2"/>
  <c r="K18" i="2"/>
  <c r="N18" i="2" s="1"/>
  <c r="M18" i="2"/>
  <c r="K25" i="2"/>
  <c r="M25" i="2"/>
  <c r="L25" i="2"/>
  <c r="N25" i="2" s="1"/>
  <c r="K21" i="2"/>
  <c r="M21" i="2"/>
  <c r="L21" i="2"/>
  <c r="N21" i="2" s="1"/>
  <c r="D8" i="3"/>
  <c r="E11" i="3" l="1"/>
  <c r="F8" i="3"/>
  <c r="F11" i="3" s="1"/>
  <c r="B27" i="3" s="1"/>
  <c r="E21" i="3"/>
  <c r="B29" i="3"/>
  <c r="C29" i="3" s="1"/>
  <c r="K29" i="2"/>
  <c r="C16" i="3"/>
  <c r="E15" i="3"/>
  <c r="M8" i="2"/>
  <c r="M29" i="2" s="1"/>
  <c r="L8" i="2"/>
  <c r="L29" i="2" s="1"/>
  <c r="K8" i="2"/>
  <c r="N8" i="2" l="1"/>
  <c r="N29" i="2" s="1"/>
  <c r="C27" i="3"/>
  <c r="E16" i="3"/>
  <c r="B28" i="3"/>
  <c r="C28" i="3" s="1"/>
  <c r="B30" i="3" l="1"/>
  <c r="C30" i="3" s="1"/>
</calcChain>
</file>

<file path=xl/sharedStrings.xml><?xml version="1.0" encoding="utf-8"?>
<sst xmlns="http://schemas.openxmlformats.org/spreadsheetml/2006/main" count="437" uniqueCount="211">
  <si>
    <t>Club Name</t>
  </si>
  <si>
    <t>Metro United SC</t>
  </si>
  <si>
    <t>Broadcaster (TV)</t>
  </si>
  <si>
    <t>Sports Network 7  (SN7)</t>
  </si>
  <si>
    <t>Broadcaster (Radio)</t>
  </si>
  <si>
    <t>KMTX AM 850</t>
  </si>
  <si>
    <t>Game</t>
  </si>
  <si>
    <t>Metro United SC  vs.  Riverside City FC</t>
  </si>
  <si>
    <t>Game Date</t>
  </si>
  <si>
    <t>TBD, 202x</t>
  </si>
  <si>
    <t>Venue</t>
  </si>
  <si>
    <t>Metro Arena, Chicago, IL</t>
  </si>
  <si>
    <t>Currency</t>
  </si>
  <si>
    <t>USD ($)</t>
  </si>
  <si>
    <t>Report Prepared By</t>
  </si>
  <si>
    <t>Broadcast Partnerships Dept</t>
  </si>
  <si>
    <t>Submission Date</t>
  </si>
  <si>
    <t>202x</t>
  </si>
  <si>
    <t>Log ID</t>
  </si>
  <si>
    <t>Medium</t>
  </si>
  <si>
    <t>Channel / Station</t>
  </si>
  <si>
    <t>Game Period</t>
  </si>
  <si>
    <t>On-Air Date</t>
  </si>
  <si>
    <t>On-Air Start Time</t>
  </si>
  <si>
    <t>Duration
(Seconds)</t>
  </si>
  <si>
    <t>Ad / Slot Type</t>
  </si>
  <si>
    <t>Sponsor / Advertiser</t>
  </si>
  <si>
    <t># Spots /
Mentions</t>
  </si>
  <si>
    <t>Rate Card
($/unit)</t>
  </si>
  <si>
    <t>Actual Rate
($/unit)</t>
  </si>
  <si>
    <t>Gross Revenue ($)</t>
  </si>
  <si>
    <t>Broadcaster
Comm %</t>
  </si>
  <si>
    <t>Broadcaster
Comm ($)</t>
  </si>
  <si>
    <t>Net Revenue
to Club ($)</t>
  </si>
  <si>
    <t>LOG-001</t>
  </si>
  <si>
    <t>TV</t>
  </si>
  <si>
    <t>SN7</t>
  </si>
  <si>
    <t>Pre-Game</t>
  </si>
  <si>
    <t>10:00 AM</t>
  </si>
  <si>
    <t>Commercial Spot</t>
  </si>
  <si>
    <t>AutoNation</t>
  </si>
  <si>
    <t>LOG-002</t>
  </si>
  <si>
    <t>10:05 AM</t>
  </si>
  <si>
    <t>State Farm</t>
  </si>
  <si>
    <t>LOG-003</t>
  </si>
  <si>
    <t>10:08 AM</t>
  </si>
  <si>
    <t>Sponsored Segment</t>
  </si>
  <si>
    <t>Gatorade – Pre-Game Show</t>
  </si>
  <si>
    <t>LOG-004</t>
  </si>
  <si>
    <t>10:12 AM</t>
  </si>
  <si>
    <t>Billboard Read</t>
  </si>
  <si>
    <t>Nike</t>
  </si>
  <si>
    <t>LOG-005</t>
  </si>
  <si>
    <t>10:15 AM</t>
  </si>
  <si>
    <t>Player Mention</t>
  </si>
  <si>
    <t>Verizon – feat. A. Rivera #10</t>
  </si>
  <si>
    <t>LOG-006</t>
  </si>
  <si>
    <t>1st Half</t>
  </si>
  <si>
    <t>11:02 AM</t>
  </si>
  <si>
    <t>Pepsi</t>
  </si>
  <si>
    <t>LOG-007</t>
  </si>
  <si>
    <t>11:20 AM</t>
  </si>
  <si>
    <t>Chevrolet</t>
  </si>
  <si>
    <t>LOG-008</t>
  </si>
  <si>
    <t>11:25 AM</t>
  </si>
  <si>
    <t>Replay Sponsor</t>
  </si>
  <si>
    <t>Verizon – Instant Replay</t>
  </si>
  <si>
    <t>LOG-009</t>
  </si>
  <si>
    <t>11:33 AM</t>
  </si>
  <si>
    <t>State Farm – feat. J. Thompson #7</t>
  </si>
  <si>
    <t>LOG-010</t>
  </si>
  <si>
    <t>11:40 AM</t>
  </si>
  <si>
    <t>Injury Timeout Spot</t>
  </si>
  <si>
    <t>Geico</t>
  </si>
  <si>
    <t>LOG-011</t>
  </si>
  <si>
    <t>Halftime</t>
  </si>
  <si>
    <t>12:00 PM</t>
  </si>
  <si>
    <t>Halftime Show Presenting</t>
  </si>
  <si>
    <t>Bud Light</t>
  </si>
  <si>
    <t>LOG-012</t>
  </si>
  <si>
    <t>12:05 PM</t>
  </si>
  <si>
    <t>LOG-013</t>
  </si>
  <si>
    <t>12:08 PM</t>
  </si>
  <si>
    <t>Papa Johns</t>
  </si>
  <si>
    <t>LOG-014</t>
  </si>
  <si>
    <t>12:11 PM</t>
  </si>
  <si>
    <t>Nike – feat. M. Osei #3</t>
  </si>
  <si>
    <t>LOG-015</t>
  </si>
  <si>
    <t>12:14 PM</t>
  </si>
  <si>
    <t>T-Mobile</t>
  </si>
  <si>
    <t>LOG-016</t>
  </si>
  <si>
    <t>2nd Half</t>
  </si>
  <si>
    <t>12:50 PM</t>
  </si>
  <si>
    <t>LOG-017</t>
  </si>
  <si>
    <t>1:05 PM</t>
  </si>
  <si>
    <t>LOG-018</t>
  </si>
  <si>
    <t>1:10 PM</t>
  </si>
  <si>
    <t>Gatorade – feat. A. Rivera #10</t>
  </si>
  <si>
    <t>LOG-019</t>
  </si>
  <si>
    <t>1:22 PM</t>
  </si>
  <si>
    <t>LOG-020</t>
  </si>
  <si>
    <t>1:35 PM</t>
  </si>
  <si>
    <t>State Farm – Stat of the Game</t>
  </si>
  <si>
    <t>LOG-021</t>
  </si>
  <si>
    <t>Post-Game</t>
  </si>
  <si>
    <t>2:10 PM</t>
  </si>
  <si>
    <t>LOG-022</t>
  </si>
  <si>
    <t>2:15 PM</t>
  </si>
  <si>
    <t>Chevrolet – Post-Game Show</t>
  </si>
  <si>
    <t>LOG-023</t>
  </si>
  <si>
    <t>2:20 PM</t>
  </si>
  <si>
    <t>Nike – feat. J. Thompson #7</t>
  </si>
  <si>
    <t>LOG-024</t>
  </si>
  <si>
    <t>Radio</t>
  </si>
  <si>
    <t>LOG-025</t>
  </si>
  <si>
    <t>10:04 AM</t>
  </si>
  <si>
    <t>Live Read</t>
  </si>
  <si>
    <t>Subway</t>
  </si>
  <si>
    <t>LOG-026</t>
  </si>
  <si>
    <t>11:00 AM</t>
  </si>
  <si>
    <t>LOG-027</t>
  </si>
  <si>
    <t>11:28 AM</t>
  </si>
  <si>
    <t>State Farm – feat. A. Rivera #10</t>
  </si>
  <si>
    <t>LOG-028</t>
  </si>
  <si>
    <t>Halftime Presenting</t>
  </si>
  <si>
    <t>Gatorade</t>
  </si>
  <si>
    <t>LOG-029</t>
  </si>
  <si>
    <t>12:04 PM</t>
  </si>
  <si>
    <t>LOG-030</t>
  </si>
  <si>
    <t>1:00 PM</t>
  </si>
  <si>
    <t>LOG-031</t>
  </si>
  <si>
    <t>1:18 PM</t>
  </si>
  <si>
    <t>Verizon – feat. M. Osei #3</t>
  </si>
  <si>
    <t>LOG-032</t>
  </si>
  <si>
    <t>2:05 PM</t>
  </si>
  <si>
    <t>LOG-033</t>
  </si>
  <si>
    <t>2:09 PM</t>
  </si>
  <si>
    <t>TOTAL</t>
  </si>
  <si>
    <t xml:space="preserve">  TV (SN7) Sub-Total</t>
  </si>
  <si>
    <t xml:space="preserve">  Radio (KMTX AM 850) Sub-Total</t>
  </si>
  <si>
    <t>Club</t>
  </si>
  <si>
    <t>Metro United SC vs. Riverside City FC</t>
  </si>
  <si>
    <t>Period</t>
  </si>
  <si>
    <t>Single Game – 202x</t>
  </si>
  <si>
    <t>Purpose</t>
  </si>
  <si>
    <t>Billing verification &amp; revenue recording by sponsor</t>
  </si>
  <si>
    <t>Ad Type(s)</t>
  </si>
  <si>
    <t>Total
Spots/Mentions</t>
  </si>
  <si>
    <t>Player Mention
Royalty %</t>
  </si>
  <si>
    <t>League
Revenue Share %</t>
  </si>
  <si>
    <t>Music/IP
Royalty %</t>
  </si>
  <si>
    <t>Total
Deductions %</t>
  </si>
  <si>
    <t>Player Mention
Royalty ($)</t>
  </si>
  <si>
    <t>League Share ($)</t>
  </si>
  <si>
    <t>Music/IP
Royalty ($)</t>
  </si>
  <si>
    <t>Club Net
Revenue ($)</t>
  </si>
  <si>
    <t>Commercial Spot, Injury Timeout Spot</t>
  </si>
  <si>
    <t>Commercial Spot, Live Read</t>
  </si>
  <si>
    <t>Revenue sharing – players, league, royalty holders</t>
  </si>
  <si>
    <t>A.  PLAYER MENTION ROYALTIES</t>
  </si>
  <si>
    <t>Player</t>
  </si>
  <si>
    <t>Sponsors Featuring Player</t>
  </si>
  <si>
    <t># Mentions
(Spots)</t>
  </si>
  <si>
    <t>Net Revenue
Attributable ($)</t>
  </si>
  <si>
    <t>Royalty
Rate</t>
  </si>
  <si>
    <t>Royalty Amount ($)</t>
  </si>
  <si>
    <t>Payment
Reference</t>
  </si>
  <si>
    <t>A. Rivera  #10</t>
  </si>
  <si>
    <t>Verizon (TV Pre+2H), Gatorade (TV 2H), State Farm (Radio 1H)</t>
  </si>
  <si>
    <t>PAY-PLY-001</t>
  </si>
  <si>
    <t>J. Thompson  #7</t>
  </si>
  <si>
    <t>State Farm (TV 1H), Nike (TV Post)</t>
  </si>
  <si>
    <t>PAY-PLY-002</t>
  </si>
  <si>
    <t>M. Osei  #3</t>
  </si>
  <si>
    <t>Nike (TV HT), Verizon (Radio 2H)</t>
  </si>
  <si>
    <t>PAY-PLY-003</t>
  </si>
  <si>
    <t>B.  LEAGUE REVENUE SHARE  (Per Collective Bargaining Agreement)</t>
  </si>
  <si>
    <t>League / Body</t>
  </si>
  <si>
    <t>Basis</t>
  </si>
  <si>
    <t>Total Net Revenue
to Club ($)</t>
  </si>
  <si>
    <t>League Share
Rate</t>
  </si>
  <si>
    <t>Notes</t>
  </si>
  <si>
    <t>National League Office</t>
  </si>
  <si>
    <t>Broadcast Ad Revenue CBA Mandate</t>
  </si>
  <si>
    <t>PAY-LGE-001</t>
  </si>
  <si>
    <t>Remitted quarterly</t>
  </si>
  <si>
    <t>C.  MUSIC &amp; IP ROYALTY PAYMENTS  (Broadcast Licensing)</t>
  </si>
  <si>
    <t>Rights Holder / Body</t>
  </si>
  <si>
    <t>Coverage</t>
  </si>
  <si>
    <t>Royalty Rate</t>
  </si>
  <si>
    <t>Payment Reference</t>
  </si>
  <si>
    <t>ASCAP / BMI</t>
  </si>
  <si>
    <t>Background &amp; walk-up music in sponsored segments</t>
  </si>
  <si>
    <t>PAY-MUS-001</t>
  </si>
  <si>
    <t>Per blanket license agreement</t>
  </si>
  <si>
    <t>D.  CLUB NET REVENUE WATERFALL</t>
  </si>
  <si>
    <t>Revenue / Deduction Component</t>
  </si>
  <si>
    <t>Amount ($)</t>
  </si>
  <si>
    <t>% of Gross</t>
  </si>
  <si>
    <t>(+) Gross Ad Revenue</t>
  </si>
  <si>
    <t>Per broadcaster invoice</t>
  </si>
  <si>
    <t>(-) Broadcaster Commission</t>
  </si>
  <si>
    <t>TV 20% / Radio 15%</t>
  </si>
  <si>
    <t>(-) Player Mention Royalties</t>
  </si>
  <si>
    <t>8% on player mention net revenue</t>
  </si>
  <si>
    <t>(-) League Revenue Share</t>
  </si>
  <si>
    <t>10% per CBA</t>
  </si>
  <si>
    <t>(-) Music &amp; IP Royalties</t>
  </si>
  <si>
    <t>2% on applicable segments</t>
  </si>
  <si>
    <t xml:space="preserve"> = Club Net Revenue</t>
  </si>
  <si>
    <t>Available for club 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</si>
</sst>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-"/>
    <numFmt numFmtId="165" formatCode="\$#,##0.00;&quot;($&quot;#,##0.00\);\-"/>
    <numFmt numFmtId="166" formatCode="0.0%;0.0%;\-"/>
  </numFmts>
  <fonts count="7" x14ac:knownFonts="1">
    <font>
      <sz val="11"/>
      <color theme="1"/>
      <name val="Calibri"/>
      <family val="2"/>
      <charset val="1"/>
    </font>
    <font>
      <b/>
      <sz val="10"/>
      <color rgb="FF1A2C52"/>
      <name val="Arial"/>
      <charset val="1"/>
    </font>
    <font>
      <sz val="10"/>
      <color rgb="FF000000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b/>
      <sz val="10"/>
      <color rgb="FF000000"/>
      <name val="Arial"/>
      <charset val="1"/>
    </font>
    <font>
      <b/>
      <sz val="9"/>
      <color rgb="FFFFFFFF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EAF0FB"/>
        <bgColor rgb="FFD6E4F7"/>
      </patternFill>
    </fill>
    <fill>
      <patternFill patternType="solid">
        <fgColor rgb="FF1A2C52"/>
        <bgColor rgb="FF333300"/>
      </patternFill>
    </fill>
    <fill>
      <patternFill patternType="solid">
        <fgColor rgb="FFD6E4F7"/>
        <bgColor rgb="FFEAF0FB"/>
      </patternFill>
    </fill>
    <fill>
      <patternFill patternType="solid">
        <fgColor rgb="FFFFFFFF"/>
        <bgColor rgb="FFEAF0FB"/>
      </patternFill>
    </fill>
    <fill>
      <patternFill patternType="solid">
        <fgColor rgb="FFC9A227"/>
        <bgColor rgb="FF99CC00"/>
      </patternFill>
    </fill>
    <fill>
      <patternFill patternType="solid">
        <fgColor rgb="FF2E74B5"/>
        <bgColor rgb="FF008080"/>
      </patternFill>
    </fill>
    <fill>
      <patternFill patternType="solid">
        <fgColor rgb="FF1F4E8C"/>
        <bgColor rgb="FF1A5C38"/>
      </patternFill>
    </fill>
    <fill>
      <patternFill patternType="solid">
        <fgColor rgb="FF7B2020"/>
        <bgColor rgb="FF800000"/>
      </patternFill>
    </fill>
    <fill>
      <patternFill patternType="solid">
        <fgColor rgb="FF4B2882"/>
        <bgColor rgb="FF1A2C52"/>
      </patternFill>
    </fill>
    <fill>
      <patternFill patternType="solid">
        <fgColor rgb="FF1A5C38"/>
        <bgColor rgb="FF1F4E8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/>
    </xf>
    <xf numFmtId="164" fontId="2" fillId="4" borderId="1" xfId="0" applyNumberFormat="1" applyFont="1" applyFill="1" applyBorder="1" applyAlignment="1">
      <alignment horizontal="center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2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164" fontId="2" fillId="5" borderId="1" xfId="0" applyNumberFormat="1" applyFont="1" applyFill="1" applyBorder="1" applyAlignment="1">
      <alignment horizontal="center" vertical="center"/>
    </xf>
    <xf numFmtId="165" fontId="4" fillId="5" borderId="1" xfId="0" applyNumberFormat="1" applyFont="1" applyFill="1" applyBorder="1" applyAlignment="1">
      <alignment horizontal="right" vertical="center"/>
    </xf>
    <xf numFmtId="165" fontId="2" fillId="5" borderId="1" xfId="0" applyNumberFormat="1" applyFont="1" applyFill="1" applyBorder="1" applyAlignment="1">
      <alignment horizontal="right" vertical="center"/>
    </xf>
    <xf numFmtId="166" fontId="4" fillId="5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/>
    <xf numFmtId="164" fontId="5" fillId="6" borderId="1" xfId="0" applyNumberFormat="1" applyFont="1" applyFill="1" applyBorder="1" applyAlignment="1">
      <alignment horizontal="center" vertical="center"/>
    </xf>
    <xf numFmtId="165" fontId="5" fillId="6" borderId="1" xfId="0" applyNumberFormat="1" applyFont="1" applyFill="1" applyBorder="1" applyAlignment="1">
      <alignment horizontal="right" vertical="center"/>
    </xf>
    <xf numFmtId="0" fontId="6" fillId="7" borderId="1" xfId="0" applyFont="1" applyFill="1" applyBorder="1" applyAlignment="1">
      <alignment horizontal="left" vertical="center"/>
    </xf>
    <xf numFmtId="0" fontId="6" fillId="7" borderId="1" xfId="0" applyFont="1" applyFill="1" applyBorder="1"/>
    <xf numFmtId="164" fontId="6" fillId="7" borderId="1" xfId="0" applyNumberFormat="1" applyFont="1" applyFill="1" applyBorder="1" applyAlignment="1">
      <alignment horizontal="center" vertical="center"/>
    </xf>
    <xf numFmtId="165" fontId="6" fillId="7" borderId="1" xfId="0" applyNumberFormat="1" applyFont="1" applyFill="1" applyBorder="1" applyAlignment="1">
      <alignment horizontal="right" vertical="center"/>
    </xf>
    <xf numFmtId="0" fontId="6" fillId="8" borderId="1" xfId="0" applyFont="1" applyFill="1" applyBorder="1" applyAlignment="1">
      <alignment horizontal="left" vertical="center"/>
    </xf>
    <xf numFmtId="0" fontId="6" fillId="8" borderId="1" xfId="0" applyFont="1" applyFill="1" applyBorder="1"/>
    <xf numFmtId="164" fontId="6" fillId="8" borderId="1" xfId="0" applyNumberFormat="1" applyFont="1" applyFill="1" applyBorder="1" applyAlignment="1">
      <alignment horizontal="center" vertical="center"/>
    </xf>
    <xf numFmtId="165" fontId="6" fillId="8" borderId="1" xfId="0" applyNumberFormat="1" applyFont="1" applyFill="1" applyBorder="1" applyAlignment="1">
      <alignment horizontal="right" vertical="center"/>
    </xf>
    <xf numFmtId="166" fontId="2" fillId="4" borderId="1" xfId="0" applyNumberFormat="1" applyFont="1" applyFill="1" applyBorder="1" applyAlignment="1">
      <alignment horizontal="center" vertical="center"/>
    </xf>
    <xf numFmtId="166" fontId="2" fillId="5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0" fillId="3" borderId="1" xfId="0" applyFill="1" applyBorder="1"/>
    <xf numFmtId="0" fontId="6" fillId="7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  <xf numFmtId="0" fontId="0" fillId="9" borderId="1" xfId="0" applyFill="1" applyBorder="1"/>
    <xf numFmtId="0" fontId="6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left" vertical="center"/>
    </xf>
    <xf numFmtId="0" fontId="0" fillId="10" borderId="1" xfId="0" applyFill="1" applyBorder="1"/>
    <xf numFmtId="0" fontId="6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left" vertical="center"/>
    </xf>
    <xf numFmtId="0" fontId="0" fillId="11" borderId="1" xfId="0" applyFill="1" applyBorder="1"/>
    <xf numFmtId="0" fontId="6" fillId="11" borderId="1" xfId="0" applyFont="1" applyFill="1" applyBorder="1" applyAlignment="1">
      <alignment horizontal="center" vertical="center" wrapText="1"/>
    </xf>
    <xf numFmtId="166" fontId="5" fillId="6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AF0FB"/>
      <rgbColor rgb="FF660066"/>
      <rgbColor rgb="FFFF8080"/>
      <rgbColor rgb="FF1F4E8C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4B5"/>
      <rgbColor rgb="FF33CCCC"/>
      <rgbColor rgb="FF99CC00"/>
      <rgbColor rgb="FFFFCC00"/>
      <rgbColor rgb="FFC9A227"/>
      <rgbColor rgb="FFFF6600"/>
      <rgbColor rgb="FF666699"/>
      <rgbColor rgb="FF969696"/>
      <rgbColor rgb="FF1A2C52"/>
      <rgbColor rgb="FF339966"/>
      <rgbColor rgb="FF003300"/>
      <rgbColor rgb="FF333300"/>
      <rgbColor rgb="FF7B2020"/>
      <rgbColor rgb="FF993366"/>
      <rgbColor rgb="FF4B2882"/>
      <rgbColor rgb="FF1A5C3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7"/>
  <sheetViews>
    <sheetView showGridLines="0" zoomScaleNormal="100" workbookViewId="0">
      <pane ySplit="11" topLeftCell="A25" activePane="bottomLeft" state="frozen"/>
      <selection pane="bottomLeft" activeCell="M39" sqref="M39"/>
    </sheetView>
  </sheetViews>
  <sheetFormatPr defaultColWidth="8.6328125" defaultRowHeight="14.5" x14ac:dyDescent="0.35"/>
  <cols>
    <col min="1" max="1" width="10" customWidth="1"/>
    <col min="2" max="2" width="8" customWidth="1"/>
    <col min="3" max="3" width="20" customWidth="1"/>
    <col min="4" max="4" width="11" customWidth="1"/>
    <col min="5" max="5" width="12" customWidth="1"/>
    <col min="6" max="6" width="14" customWidth="1"/>
    <col min="7" max="7" width="10" customWidth="1"/>
    <col min="8" max="8" width="26" customWidth="1"/>
    <col min="9" max="9" width="28" customWidth="1"/>
    <col min="10" max="10" width="9" customWidth="1"/>
    <col min="11" max="12" width="13" customWidth="1"/>
    <col min="13" max="13" width="16" customWidth="1"/>
    <col min="14" max="14" width="12" customWidth="1"/>
    <col min="15" max="15" width="15" customWidth="1"/>
    <col min="16" max="16" width="16" customWidth="1"/>
  </cols>
  <sheetData>
    <row r="1" spans="1:16" ht="15" customHeight="1" x14ac:dyDescent="0.35">
      <c r="A1" s="1" t="s">
        <v>0</v>
      </c>
      <c r="B1" s="2" t="s">
        <v>1</v>
      </c>
    </row>
    <row r="2" spans="1:16" ht="15" customHeight="1" x14ac:dyDescent="0.35">
      <c r="A2" s="1" t="s">
        <v>2</v>
      </c>
      <c r="B2" s="2" t="s">
        <v>3</v>
      </c>
    </row>
    <row r="3" spans="1:16" ht="15" customHeight="1" x14ac:dyDescent="0.35">
      <c r="A3" s="1" t="s">
        <v>4</v>
      </c>
      <c r="B3" s="2" t="s">
        <v>5</v>
      </c>
    </row>
    <row r="4" spans="1:16" ht="15" customHeight="1" x14ac:dyDescent="0.35">
      <c r="A4" s="1" t="s">
        <v>6</v>
      </c>
      <c r="B4" s="2" t="s">
        <v>7</v>
      </c>
    </row>
    <row r="5" spans="1:16" ht="15" customHeight="1" x14ac:dyDescent="0.35">
      <c r="A5" s="1" t="s">
        <v>8</v>
      </c>
      <c r="B5" s="2" t="s">
        <v>9</v>
      </c>
    </row>
    <row r="6" spans="1:16" ht="15" customHeight="1" x14ac:dyDescent="0.35">
      <c r="A6" s="1" t="s">
        <v>10</v>
      </c>
      <c r="B6" s="2" t="s">
        <v>11</v>
      </c>
    </row>
    <row r="7" spans="1:16" ht="15" customHeight="1" x14ac:dyDescent="0.35">
      <c r="A7" s="1" t="s">
        <v>12</v>
      </c>
      <c r="B7" s="2" t="s">
        <v>13</v>
      </c>
    </row>
    <row r="8" spans="1:16" ht="15" customHeight="1" x14ac:dyDescent="0.35">
      <c r="A8" s="1" t="s">
        <v>14</v>
      </c>
      <c r="B8" s="2" t="s">
        <v>15</v>
      </c>
    </row>
    <row r="9" spans="1:16" ht="15" customHeight="1" x14ac:dyDescent="0.35">
      <c r="A9" s="1" t="s">
        <v>16</v>
      </c>
      <c r="B9" s="2" t="s">
        <v>17</v>
      </c>
    </row>
    <row r="10" spans="1:16" ht="7.5" customHeight="1" x14ac:dyDescent="0.35"/>
    <row r="11" spans="1:16" ht="43.5" customHeight="1" x14ac:dyDescent="0.35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  <c r="M11" s="3" t="s">
        <v>30</v>
      </c>
      <c r="N11" s="3" t="s">
        <v>31</v>
      </c>
      <c r="O11" s="3" t="s">
        <v>32</v>
      </c>
      <c r="P11" s="3" t="s">
        <v>33</v>
      </c>
    </row>
    <row r="12" spans="1:16" ht="15" customHeight="1" x14ac:dyDescent="0.35">
      <c r="A12" s="4" t="s">
        <v>34</v>
      </c>
      <c r="B12" s="4" t="s">
        <v>35</v>
      </c>
      <c r="C12" s="4" t="s">
        <v>36</v>
      </c>
      <c r="D12" s="4" t="s">
        <v>37</v>
      </c>
      <c r="E12" s="4" t="s">
        <v>17</v>
      </c>
      <c r="F12" s="4" t="s">
        <v>38</v>
      </c>
      <c r="G12" s="5">
        <v>30</v>
      </c>
      <c r="H12" s="4" t="s">
        <v>39</v>
      </c>
      <c r="I12" s="4" t="s">
        <v>40</v>
      </c>
      <c r="J12" s="5">
        <v>2</v>
      </c>
      <c r="K12" s="6">
        <v>4200</v>
      </c>
      <c r="L12" s="6">
        <v>4200</v>
      </c>
      <c r="M12" s="7">
        <f t="shared" ref="M12:M44" si="0">J12*L12</f>
        <v>8400</v>
      </c>
      <c r="N12" s="8">
        <v>0.2</v>
      </c>
      <c r="O12" s="7">
        <f t="shared" ref="O12:O44" si="1">M12*N12</f>
        <v>1680</v>
      </c>
      <c r="P12" s="7">
        <f t="shared" ref="P12:P44" si="2">M12-O12</f>
        <v>6720</v>
      </c>
    </row>
    <row r="13" spans="1:16" ht="15" customHeight="1" x14ac:dyDescent="0.35">
      <c r="A13" s="9" t="s">
        <v>41</v>
      </c>
      <c r="B13" s="9" t="s">
        <v>35</v>
      </c>
      <c r="C13" s="9" t="s">
        <v>36</v>
      </c>
      <c r="D13" s="9" t="s">
        <v>37</v>
      </c>
      <c r="E13" s="9" t="s">
        <v>17</v>
      </c>
      <c r="F13" s="9" t="s">
        <v>42</v>
      </c>
      <c r="G13" s="10">
        <v>30</v>
      </c>
      <c r="H13" s="9" t="s">
        <v>39</v>
      </c>
      <c r="I13" s="9" t="s">
        <v>43</v>
      </c>
      <c r="J13" s="10">
        <v>2</v>
      </c>
      <c r="K13" s="11">
        <v>4200</v>
      </c>
      <c r="L13" s="11">
        <v>3900</v>
      </c>
      <c r="M13" s="12">
        <f t="shared" si="0"/>
        <v>7800</v>
      </c>
      <c r="N13" s="13">
        <v>0.2</v>
      </c>
      <c r="O13" s="12">
        <f t="shared" si="1"/>
        <v>1560</v>
      </c>
      <c r="P13" s="12">
        <f t="shared" si="2"/>
        <v>6240</v>
      </c>
    </row>
    <row r="14" spans="1:16" ht="15" customHeight="1" x14ac:dyDescent="0.35">
      <c r="A14" s="4" t="s">
        <v>44</v>
      </c>
      <c r="B14" s="4" t="s">
        <v>35</v>
      </c>
      <c r="C14" s="4" t="s">
        <v>36</v>
      </c>
      <c r="D14" s="4" t="s">
        <v>37</v>
      </c>
      <c r="E14" s="4" t="s">
        <v>17</v>
      </c>
      <c r="F14" s="4" t="s">
        <v>45</v>
      </c>
      <c r="G14" s="5">
        <v>60</v>
      </c>
      <c r="H14" s="4" t="s">
        <v>46</v>
      </c>
      <c r="I14" s="4" t="s">
        <v>47</v>
      </c>
      <c r="J14" s="5">
        <v>1</v>
      </c>
      <c r="K14" s="6">
        <v>8500</v>
      </c>
      <c r="L14" s="6">
        <v>8500</v>
      </c>
      <c r="M14" s="7">
        <f t="shared" si="0"/>
        <v>8500</v>
      </c>
      <c r="N14" s="8">
        <v>0.2</v>
      </c>
      <c r="O14" s="7">
        <f t="shared" si="1"/>
        <v>1700</v>
      </c>
      <c r="P14" s="7">
        <f t="shared" si="2"/>
        <v>6800</v>
      </c>
    </row>
    <row r="15" spans="1:16" ht="15" customHeight="1" x14ac:dyDescent="0.35">
      <c r="A15" s="9" t="s">
        <v>48</v>
      </c>
      <c r="B15" s="9" t="s">
        <v>35</v>
      </c>
      <c r="C15" s="9" t="s">
        <v>36</v>
      </c>
      <c r="D15" s="9" t="s">
        <v>37</v>
      </c>
      <c r="E15" s="9" t="s">
        <v>17</v>
      </c>
      <c r="F15" s="9" t="s">
        <v>49</v>
      </c>
      <c r="G15" s="10">
        <v>15</v>
      </c>
      <c r="H15" s="9" t="s">
        <v>50</v>
      </c>
      <c r="I15" s="9" t="s">
        <v>51</v>
      </c>
      <c r="J15" s="10">
        <v>1</v>
      </c>
      <c r="K15" s="11">
        <v>1800</v>
      </c>
      <c r="L15" s="11">
        <v>1800</v>
      </c>
      <c r="M15" s="12">
        <f t="shared" si="0"/>
        <v>1800</v>
      </c>
      <c r="N15" s="13">
        <v>0.2</v>
      </c>
      <c r="O15" s="12">
        <f t="shared" si="1"/>
        <v>360</v>
      </c>
      <c r="P15" s="12">
        <f t="shared" si="2"/>
        <v>1440</v>
      </c>
    </row>
    <row r="16" spans="1:16" ht="15" customHeight="1" x14ac:dyDescent="0.35">
      <c r="A16" s="4" t="s">
        <v>52</v>
      </c>
      <c r="B16" s="4" t="s">
        <v>35</v>
      </c>
      <c r="C16" s="4" t="s">
        <v>36</v>
      </c>
      <c r="D16" s="4" t="s">
        <v>37</v>
      </c>
      <c r="E16" s="4" t="s">
        <v>17</v>
      </c>
      <c r="F16" s="4" t="s">
        <v>53</v>
      </c>
      <c r="G16" s="5">
        <v>30</v>
      </c>
      <c r="H16" s="4" t="s">
        <v>54</v>
      </c>
      <c r="I16" s="4" t="s">
        <v>55</v>
      </c>
      <c r="J16" s="5">
        <v>1</v>
      </c>
      <c r="K16" s="6">
        <v>5500</v>
      </c>
      <c r="L16" s="6">
        <v>5500</v>
      </c>
      <c r="M16" s="7">
        <f t="shared" si="0"/>
        <v>5500</v>
      </c>
      <c r="N16" s="8">
        <v>0.2</v>
      </c>
      <c r="O16" s="7">
        <f t="shared" si="1"/>
        <v>1100</v>
      </c>
      <c r="P16" s="7">
        <f t="shared" si="2"/>
        <v>4400</v>
      </c>
    </row>
    <row r="17" spans="1:16" ht="15" customHeight="1" x14ac:dyDescent="0.35">
      <c r="A17" s="9" t="s">
        <v>56</v>
      </c>
      <c r="B17" s="9" t="s">
        <v>35</v>
      </c>
      <c r="C17" s="9" t="s">
        <v>36</v>
      </c>
      <c r="D17" s="9" t="s">
        <v>57</v>
      </c>
      <c r="E17" s="9" t="s">
        <v>17</v>
      </c>
      <c r="F17" s="9" t="s">
        <v>58</v>
      </c>
      <c r="G17" s="10">
        <v>30</v>
      </c>
      <c r="H17" s="9" t="s">
        <v>39</v>
      </c>
      <c r="I17" s="9" t="s">
        <v>59</v>
      </c>
      <c r="J17" s="10">
        <v>2</v>
      </c>
      <c r="K17" s="11">
        <v>5800</v>
      </c>
      <c r="L17" s="11">
        <v>5800</v>
      </c>
      <c r="M17" s="12">
        <f t="shared" si="0"/>
        <v>11600</v>
      </c>
      <c r="N17" s="13">
        <v>0.2</v>
      </c>
      <c r="O17" s="12">
        <f t="shared" si="1"/>
        <v>2320</v>
      </c>
      <c r="P17" s="12">
        <f t="shared" si="2"/>
        <v>9280</v>
      </c>
    </row>
    <row r="18" spans="1:16" ht="15" customHeight="1" x14ac:dyDescent="0.35">
      <c r="A18" s="4" t="s">
        <v>60</v>
      </c>
      <c r="B18" s="4" t="s">
        <v>35</v>
      </c>
      <c r="C18" s="4" t="s">
        <v>36</v>
      </c>
      <c r="D18" s="4" t="s">
        <v>57</v>
      </c>
      <c r="E18" s="4" t="s">
        <v>17</v>
      </c>
      <c r="F18" s="4" t="s">
        <v>61</v>
      </c>
      <c r="G18" s="5">
        <v>30</v>
      </c>
      <c r="H18" s="4" t="s">
        <v>39</v>
      </c>
      <c r="I18" s="4" t="s">
        <v>62</v>
      </c>
      <c r="J18" s="5">
        <v>2</v>
      </c>
      <c r="K18" s="6">
        <v>5800</v>
      </c>
      <c r="L18" s="6">
        <v>5500</v>
      </c>
      <c r="M18" s="7">
        <f t="shared" si="0"/>
        <v>11000</v>
      </c>
      <c r="N18" s="8">
        <v>0.2</v>
      </c>
      <c r="O18" s="7">
        <f t="shared" si="1"/>
        <v>2200</v>
      </c>
      <c r="P18" s="7">
        <f t="shared" si="2"/>
        <v>8800</v>
      </c>
    </row>
    <row r="19" spans="1:16" ht="15" customHeight="1" x14ac:dyDescent="0.35">
      <c r="A19" s="9" t="s">
        <v>63</v>
      </c>
      <c r="B19" s="9" t="s">
        <v>35</v>
      </c>
      <c r="C19" s="9" t="s">
        <v>36</v>
      </c>
      <c r="D19" s="9" t="s">
        <v>57</v>
      </c>
      <c r="E19" s="9" t="s">
        <v>17</v>
      </c>
      <c r="F19" s="9" t="s">
        <v>64</v>
      </c>
      <c r="G19" s="10">
        <v>15</v>
      </c>
      <c r="H19" s="9" t="s">
        <v>65</v>
      </c>
      <c r="I19" s="9" t="s">
        <v>66</v>
      </c>
      <c r="J19" s="10">
        <v>3</v>
      </c>
      <c r="K19" s="11">
        <v>2200</v>
      </c>
      <c r="L19" s="11">
        <v>2200</v>
      </c>
      <c r="M19" s="12">
        <f t="shared" si="0"/>
        <v>6600</v>
      </c>
      <c r="N19" s="13">
        <v>0.2</v>
      </c>
      <c r="O19" s="12">
        <f t="shared" si="1"/>
        <v>1320</v>
      </c>
      <c r="P19" s="12">
        <f t="shared" si="2"/>
        <v>5280</v>
      </c>
    </row>
    <row r="20" spans="1:16" ht="15" customHeight="1" x14ac:dyDescent="0.35">
      <c r="A20" s="4" t="s">
        <v>67</v>
      </c>
      <c r="B20" s="4" t="s">
        <v>35</v>
      </c>
      <c r="C20" s="4" t="s">
        <v>36</v>
      </c>
      <c r="D20" s="4" t="s">
        <v>57</v>
      </c>
      <c r="E20" s="4" t="s">
        <v>17</v>
      </c>
      <c r="F20" s="4" t="s">
        <v>68</v>
      </c>
      <c r="G20" s="5">
        <v>30</v>
      </c>
      <c r="H20" s="4" t="s">
        <v>54</v>
      </c>
      <c r="I20" s="4" t="s">
        <v>69</v>
      </c>
      <c r="J20" s="5">
        <v>1</v>
      </c>
      <c r="K20" s="6">
        <v>6200</v>
      </c>
      <c r="L20" s="6">
        <v>6200</v>
      </c>
      <c r="M20" s="7">
        <f t="shared" si="0"/>
        <v>6200</v>
      </c>
      <c r="N20" s="8">
        <v>0.2</v>
      </c>
      <c r="O20" s="7">
        <f t="shared" si="1"/>
        <v>1240</v>
      </c>
      <c r="P20" s="7">
        <f t="shared" si="2"/>
        <v>4960</v>
      </c>
    </row>
    <row r="21" spans="1:16" ht="15" customHeight="1" x14ac:dyDescent="0.35">
      <c r="A21" s="9" t="s">
        <v>70</v>
      </c>
      <c r="B21" s="9" t="s">
        <v>35</v>
      </c>
      <c r="C21" s="9" t="s">
        <v>36</v>
      </c>
      <c r="D21" s="9" t="s">
        <v>57</v>
      </c>
      <c r="E21" s="9" t="s">
        <v>17</v>
      </c>
      <c r="F21" s="9" t="s">
        <v>71</v>
      </c>
      <c r="G21" s="10">
        <v>60</v>
      </c>
      <c r="H21" s="9" t="s">
        <v>72</v>
      </c>
      <c r="I21" s="9" t="s">
        <v>73</v>
      </c>
      <c r="J21" s="10">
        <v>1</v>
      </c>
      <c r="K21" s="11">
        <v>7000</v>
      </c>
      <c r="L21" s="11">
        <v>6500</v>
      </c>
      <c r="M21" s="12">
        <f t="shared" si="0"/>
        <v>6500</v>
      </c>
      <c r="N21" s="13">
        <v>0.2</v>
      </c>
      <c r="O21" s="12">
        <f t="shared" si="1"/>
        <v>1300</v>
      </c>
      <c r="P21" s="12">
        <f t="shared" si="2"/>
        <v>5200</v>
      </c>
    </row>
    <row r="22" spans="1:16" ht="15" customHeight="1" x14ac:dyDescent="0.35">
      <c r="A22" s="4" t="s">
        <v>74</v>
      </c>
      <c r="B22" s="4" t="s">
        <v>35</v>
      </c>
      <c r="C22" s="4" t="s">
        <v>36</v>
      </c>
      <c r="D22" s="4" t="s">
        <v>75</v>
      </c>
      <c r="E22" s="4" t="s">
        <v>17</v>
      </c>
      <c r="F22" s="4" t="s">
        <v>76</v>
      </c>
      <c r="G22" s="5">
        <v>300</v>
      </c>
      <c r="H22" s="4" t="s">
        <v>77</v>
      </c>
      <c r="I22" s="4" t="s">
        <v>78</v>
      </c>
      <c r="J22" s="5">
        <v>1</v>
      </c>
      <c r="K22" s="6">
        <v>22000</v>
      </c>
      <c r="L22" s="6">
        <v>22000</v>
      </c>
      <c r="M22" s="7">
        <f t="shared" si="0"/>
        <v>22000</v>
      </c>
      <c r="N22" s="8">
        <v>0.2</v>
      </c>
      <c r="O22" s="7">
        <f t="shared" si="1"/>
        <v>4400</v>
      </c>
      <c r="P22" s="7">
        <f t="shared" si="2"/>
        <v>17600</v>
      </c>
    </row>
    <row r="23" spans="1:16" ht="15" customHeight="1" x14ac:dyDescent="0.35">
      <c r="A23" s="9" t="s">
        <v>79</v>
      </c>
      <c r="B23" s="9" t="s">
        <v>35</v>
      </c>
      <c r="C23" s="9" t="s">
        <v>36</v>
      </c>
      <c r="D23" s="9" t="s">
        <v>75</v>
      </c>
      <c r="E23" s="9" t="s">
        <v>17</v>
      </c>
      <c r="F23" s="9" t="s">
        <v>80</v>
      </c>
      <c r="G23" s="10">
        <v>30</v>
      </c>
      <c r="H23" s="9" t="s">
        <v>39</v>
      </c>
      <c r="I23" s="9" t="s">
        <v>40</v>
      </c>
      <c r="J23" s="10">
        <v>2</v>
      </c>
      <c r="K23" s="11">
        <v>4200</v>
      </c>
      <c r="L23" s="11">
        <v>4200</v>
      </c>
      <c r="M23" s="12">
        <f t="shared" si="0"/>
        <v>8400</v>
      </c>
      <c r="N23" s="13">
        <v>0.2</v>
      </c>
      <c r="O23" s="12">
        <f t="shared" si="1"/>
        <v>1680</v>
      </c>
      <c r="P23" s="12">
        <f t="shared" si="2"/>
        <v>6720</v>
      </c>
    </row>
    <row r="24" spans="1:16" ht="15" customHeight="1" x14ac:dyDescent="0.35">
      <c r="A24" s="4" t="s">
        <v>81</v>
      </c>
      <c r="B24" s="4" t="s">
        <v>35</v>
      </c>
      <c r="C24" s="4" t="s">
        <v>36</v>
      </c>
      <c r="D24" s="4" t="s">
        <v>75</v>
      </c>
      <c r="E24" s="4" t="s">
        <v>17</v>
      </c>
      <c r="F24" s="4" t="s">
        <v>82</v>
      </c>
      <c r="G24" s="5">
        <v>30</v>
      </c>
      <c r="H24" s="4" t="s">
        <v>39</v>
      </c>
      <c r="I24" s="4" t="s">
        <v>83</v>
      </c>
      <c r="J24" s="5">
        <v>2</v>
      </c>
      <c r="K24" s="6">
        <v>4200</v>
      </c>
      <c r="L24" s="6">
        <v>4000</v>
      </c>
      <c r="M24" s="7">
        <f t="shared" si="0"/>
        <v>8000</v>
      </c>
      <c r="N24" s="8">
        <v>0.2</v>
      </c>
      <c r="O24" s="7">
        <f t="shared" si="1"/>
        <v>1600</v>
      </c>
      <c r="P24" s="7">
        <f t="shared" si="2"/>
        <v>6400</v>
      </c>
    </row>
    <row r="25" spans="1:16" ht="15" customHeight="1" x14ac:dyDescent="0.35">
      <c r="A25" s="9" t="s">
        <v>84</v>
      </c>
      <c r="B25" s="9" t="s">
        <v>35</v>
      </c>
      <c r="C25" s="9" t="s">
        <v>36</v>
      </c>
      <c r="D25" s="9" t="s">
        <v>75</v>
      </c>
      <c r="E25" s="9" t="s">
        <v>17</v>
      </c>
      <c r="F25" s="9" t="s">
        <v>85</v>
      </c>
      <c r="G25" s="10">
        <v>30</v>
      </c>
      <c r="H25" s="9" t="s">
        <v>54</v>
      </c>
      <c r="I25" s="9" t="s">
        <v>86</v>
      </c>
      <c r="J25" s="10">
        <v>1</v>
      </c>
      <c r="K25" s="11">
        <v>6800</v>
      </c>
      <c r="L25" s="11">
        <v>6800</v>
      </c>
      <c r="M25" s="12">
        <f t="shared" si="0"/>
        <v>6800</v>
      </c>
      <c r="N25" s="13">
        <v>0.2</v>
      </c>
      <c r="O25" s="12">
        <f t="shared" si="1"/>
        <v>1360</v>
      </c>
      <c r="P25" s="12">
        <f t="shared" si="2"/>
        <v>5440</v>
      </c>
    </row>
    <row r="26" spans="1:16" ht="15" customHeight="1" x14ac:dyDescent="0.35">
      <c r="A26" s="4" t="s">
        <v>87</v>
      </c>
      <c r="B26" s="4" t="s">
        <v>35</v>
      </c>
      <c r="C26" s="4" t="s">
        <v>36</v>
      </c>
      <c r="D26" s="4" t="s">
        <v>75</v>
      </c>
      <c r="E26" s="4" t="s">
        <v>17</v>
      </c>
      <c r="F26" s="4" t="s">
        <v>88</v>
      </c>
      <c r="G26" s="5">
        <v>60</v>
      </c>
      <c r="H26" s="4" t="s">
        <v>39</v>
      </c>
      <c r="I26" s="4" t="s">
        <v>89</v>
      </c>
      <c r="J26" s="5">
        <v>1</v>
      </c>
      <c r="K26" s="6">
        <v>7500</v>
      </c>
      <c r="L26" s="6">
        <v>7500</v>
      </c>
      <c r="M26" s="7">
        <f t="shared" si="0"/>
        <v>7500</v>
      </c>
      <c r="N26" s="8">
        <v>0.2</v>
      </c>
      <c r="O26" s="7">
        <f t="shared" si="1"/>
        <v>1500</v>
      </c>
      <c r="P26" s="7">
        <f t="shared" si="2"/>
        <v>6000</v>
      </c>
    </row>
    <row r="27" spans="1:16" ht="15" customHeight="1" x14ac:dyDescent="0.35">
      <c r="A27" s="9" t="s">
        <v>90</v>
      </c>
      <c r="B27" s="9" t="s">
        <v>35</v>
      </c>
      <c r="C27" s="9" t="s">
        <v>36</v>
      </c>
      <c r="D27" s="9" t="s">
        <v>91</v>
      </c>
      <c r="E27" s="9" t="s">
        <v>17</v>
      </c>
      <c r="F27" s="9" t="s">
        <v>92</v>
      </c>
      <c r="G27" s="10">
        <v>30</v>
      </c>
      <c r="H27" s="9" t="s">
        <v>39</v>
      </c>
      <c r="I27" s="9" t="s">
        <v>59</v>
      </c>
      <c r="J27" s="10">
        <v>2</v>
      </c>
      <c r="K27" s="11">
        <v>5800</v>
      </c>
      <c r="L27" s="11">
        <v>5800</v>
      </c>
      <c r="M27" s="12">
        <f t="shared" si="0"/>
        <v>11600</v>
      </c>
      <c r="N27" s="13">
        <v>0.2</v>
      </c>
      <c r="O27" s="12">
        <f t="shared" si="1"/>
        <v>2320</v>
      </c>
      <c r="P27" s="12">
        <f t="shared" si="2"/>
        <v>9280</v>
      </c>
    </row>
    <row r="28" spans="1:16" ht="15" customHeight="1" x14ac:dyDescent="0.35">
      <c r="A28" s="4" t="s">
        <v>93</v>
      </c>
      <c r="B28" s="4" t="s">
        <v>35</v>
      </c>
      <c r="C28" s="4" t="s">
        <v>36</v>
      </c>
      <c r="D28" s="4" t="s">
        <v>91</v>
      </c>
      <c r="E28" s="4" t="s">
        <v>17</v>
      </c>
      <c r="F28" s="4" t="s">
        <v>94</v>
      </c>
      <c r="G28" s="5">
        <v>15</v>
      </c>
      <c r="H28" s="4" t="s">
        <v>65</v>
      </c>
      <c r="I28" s="4" t="s">
        <v>66</v>
      </c>
      <c r="J28" s="5">
        <v>3</v>
      </c>
      <c r="K28" s="6">
        <v>2200</v>
      </c>
      <c r="L28" s="6">
        <v>2200</v>
      </c>
      <c r="M28" s="7">
        <f t="shared" si="0"/>
        <v>6600</v>
      </c>
      <c r="N28" s="8">
        <v>0.2</v>
      </c>
      <c r="O28" s="7">
        <f t="shared" si="1"/>
        <v>1320</v>
      </c>
      <c r="P28" s="7">
        <f t="shared" si="2"/>
        <v>5280</v>
      </c>
    </row>
    <row r="29" spans="1:16" ht="15" customHeight="1" x14ac:dyDescent="0.35">
      <c r="A29" s="9" t="s">
        <v>95</v>
      </c>
      <c r="B29" s="9" t="s">
        <v>35</v>
      </c>
      <c r="C29" s="9" t="s">
        <v>36</v>
      </c>
      <c r="D29" s="9" t="s">
        <v>91</v>
      </c>
      <c r="E29" s="9" t="s">
        <v>17</v>
      </c>
      <c r="F29" s="9" t="s">
        <v>96</v>
      </c>
      <c r="G29" s="10">
        <v>30</v>
      </c>
      <c r="H29" s="9" t="s">
        <v>54</v>
      </c>
      <c r="I29" s="9" t="s">
        <v>97</v>
      </c>
      <c r="J29" s="10">
        <v>1</v>
      </c>
      <c r="K29" s="11">
        <v>6200</v>
      </c>
      <c r="L29" s="11">
        <v>6200</v>
      </c>
      <c r="M29" s="12">
        <f t="shared" si="0"/>
        <v>6200</v>
      </c>
      <c r="N29" s="13">
        <v>0.2</v>
      </c>
      <c r="O29" s="12">
        <f t="shared" si="1"/>
        <v>1240</v>
      </c>
      <c r="P29" s="12">
        <f t="shared" si="2"/>
        <v>4960</v>
      </c>
    </row>
    <row r="30" spans="1:16" ht="15" customHeight="1" x14ac:dyDescent="0.35">
      <c r="A30" s="4" t="s">
        <v>98</v>
      </c>
      <c r="B30" s="4" t="s">
        <v>35</v>
      </c>
      <c r="C30" s="4" t="s">
        <v>36</v>
      </c>
      <c r="D30" s="4" t="s">
        <v>91</v>
      </c>
      <c r="E30" s="4" t="s">
        <v>17</v>
      </c>
      <c r="F30" s="4" t="s">
        <v>99</v>
      </c>
      <c r="G30" s="5">
        <v>30</v>
      </c>
      <c r="H30" s="4" t="s">
        <v>39</v>
      </c>
      <c r="I30" s="4" t="s">
        <v>73</v>
      </c>
      <c r="J30" s="5">
        <v>2</v>
      </c>
      <c r="K30" s="6">
        <v>5800</v>
      </c>
      <c r="L30" s="6">
        <v>5800</v>
      </c>
      <c r="M30" s="7">
        <f t="shared" si="0"/>
        <v>11600</v>
      </c>
      <c r="N30" s="8">
        <v>0.2</v>
      </c>
      <c r="O30" s="7">
        <f t="shared" si="1"/>
        <v>2320</v>
      </c>
      <c r="P30" s="7">
        <f t="shared" si="2"/>
        <v>9280</v>
      </c>
    </row>
    <row r="31" spans="1:16" ht="15" customHeight="1" x14ac:dyDescent="0.35">
      <c r="A31" s="9" t="s">
        <v>100</v>
      </c>
      <c r="B31" s="9" t="s">
        <v>35</v>
      </c>
      <c r="C31" s="9" t="s">
        <v>36</v>
      </c>
      <c r="D31" s="9" t="s">
        <v>91</v>
      </c>
      <c r="E31" s="9" t="s">
        <v>17</v>
      </c>
      <c r="F31" s="9" t="s">
        <v>101</v>
      </c>
      <c r="G31" s="10">
        <v>60</v>
      </c>
      <c r="H31" s="9" t="s">
        <v>46</v>
      </c>
      <c r="I31" s="9" t="s">
        <v>102</v>
      </c>
      <c r="J31" s="10">
        <v>1</v>
      </c>
      <c r="K31" s="11">
        <v>9000</v>
      </c>
      <c r="L31" s="11">
        <v>8500</v>
      </c>
      <c r="M31" s="12">
        <f t="shared" si="0"/>
        <v>8500</v>
      </c>
      <c r="N31" s="13">
        <v>0.2</v>
      </c>
      <c r="O31" s="12">
        <f t="shared" si="1"/>
        <v>1700</v>
      </c>
      <c r="P31" s="12">
        <f t="shared" si="2"/>
        <v>6800</v>
      </c>
    </row>
    <row r="32" spans="1:16" ht="15" customHeight="1" x14ac:dyDescent="0.35">
      <c r="A32" s="4" t="s">
        <v>103</v>
      </c>
      <c r="B32" s="4" t="s">
        <v>35</v>
      </c>
      <c r="C32" s="4" t="s">
        <v>36</v>
      </c>
      <c r="D32" s="4" t="s">
        <v>104</v>
      </c>
      <c r="E32" s="4" t="s">
        <v>17</v>
      </c>
      <c r="F32" s="4" t="s">
        <v>105</v>
      </c>
      <c r="G32" s="5">
        <v>30</v>
      </c>
      <c r="H32" s="4" t="s">
        <v>39</v>
      </c>
      <c r="I32" s="4" t="s">
        <v>40</v>
      </c>
      <c r="J32" s="5">
        <v>2</v>
      </c>
      <c r="K32" s="6">
        <v>4200</v>
      </c>
      <c r="L32" s="6">
        <v>4200</v>
      </c>
      <c r="M32" s="7">
        <f t="shared" si="0"/>
        <v>8400</v>
      </c>
      <c r="N32" s="8">
        <v>0.2</v>
      </c>
      <c r="O32" s="7">
        <f t="shared" si="1"/>
        <v>1680</v>
      </c>
      <c r="P32" s="7">
        <f t="shared" si="2"/>
        <v>6720</v>
      </c>
    </row>
    <row r="33" spans="1:16" ht="15" customHeight="1" x14ac:dyDescent="0.35">
      <c r="A33" s="9" t="s">
        <v>106</v>
      </c>
      <c r="B33" s="9" t="s">
        <v>35</v>
      </c>
      <c r="C33" s="9" t="s">
        <v>36</v>
      </c>
      <c r="D33" s="9" t="s">
        <v>104</v>
      </c>
      <c r="E33" s="9" t="s">
        <v>17</v>
      </c>
      <c r="F33" s="9" t="s">
        <v>107</v>
      </c>
      <c r="G33" s="10">
        <v>60</v>
      </c>
      <c r="H33" s="9" t="s">
        <v>46</v>
      </c>
      <c r="I33" s="9" t="s">
        <v>108</v>
      </c>
      <c r="J33" s="10">
        <v>1</v>
      </c>
      <c r="K33" s="11">
        <v>8500</v>
      </c>
      <c r="L33" s="11">
        <v>8500</v>
      </c>
      <c r="M33" s="12">
        <f t="shared" si="0"/>
        <v>8500</v>
      </c>
      <c r="N33" s="13">
        <v>0.2</v>
      </c>
      <c r="O33" s="12">
        <f t="shared" si="1"/>
        <v>1700</v>
      </c>
      <c r="P33" s="12">
        <f t="shared" si="2"/>
        <v>6800</v>
      </c>
    </row>
    <row r="34" spans="1:16" ht="15" customHeight="1" x14ac:dyDescent="0.35">
      <c r="A34" s="4" t="s">
        <v>109</v>
      </c>
      <c r="B34" s="4" t="s">
        <v>35</v>
      </c>
      <c r="C34" s="4" t="s">
        <v>36</v>
      </c>
      <c r="D34" s="4" t="s">
        <v>104</v>
      </c>
      <c r="E34" s="4" t="s">
        <v>17</v>
      </c>
      <c r="F34" s="4" t="s">
        <v>110</v>
      </c>
      <c r="G34" s="5">
        <v>30</v>
      </c>
      <c r="H34" s="4" t="s">
        <v>54</v>
      </c>
      <c r="I34" s="4" t="s">
        <v>111</v>
      </c>
      <c r="J34" s="5">
        <v>1</v>
      </c>
      <c r="K34" s="6">
        <v>6200</v>
      </c>
      <c r="L34" s="6">
        <v>5800</v>
      </c>
      <c r="M34" s="7">
        <f t="shared" si="0"/>
        <v>5800</v>
      </c>
      <c r="N34" s="8">
        <v>0.2</v>
      </c>
      <c r="O34" s="7">
        <f t="shared" si="1"/>
        <v>1160</v>
      </c>
      <c r="P34" s="7">
        <f t="shared" si="2"/>
        <v>4640</v>
      </c>
    </row>
    <row r="35" spans="1:16" ht="15" customHeight="1" x14ac:dyDescent="0.35">
      <c r="A35" s="9" t="s">
        <v>112</v>
      </c>
      <c r="B35" s="9" t="s">
        <v>113</v>
      </c>
      <c r="C35" s="9" t="s">
        <v>5</v>
      </c>
      <c r="D35" s="9" t="s">
        <v>37</v>
      </c>
      <c r="E35" s="9" t="s">
        <v>17</v>
      </c>
      <c r="F35" s="9" t="s">
        <v>38</v>
      </c>
      <c r="G35" s="10">
        <v>30</v>
      </c>
      <c r="H35" s="9" t="s">
        <v>39</v>
      </c>
      <c r="I35" s="9" t="s">
        <v>40</v>
      </c>
      <c r="J35" s="10">
        <v>2</v>
      </c>
      <c r="K35" s="11">
        <v>1200</v>
      </c>
      <c r="L35" s="11">
        <v>1200</v>
      </c>
      <c r="M35" s="12">
        <f t="shared" si="0"/>
        <v>2400</v>
      </c>
      <c r="N35" s="13">
        <v>0.15</v>
      </c>
      <c r="O35" s="12">
        <f t="shared" si="1"/>
        <v>360</v>
      </c>
      <c r="P35" s="12">
        <f t="shared" si="2"/>
        <v>2040</v>
      </c>
    </row>
    <row r="36" spans="1:16" ht="15" customHeight="1" x14ac:dyDescent="0.35">
      <c r="A36" s="4" t="s">
        <v>114</v>
      </c>
      <c r="B36" s="4" t="s">
        <v>113</v>
      </c>
      <c r="C36" s="4" t="s">
        <v>5</v>
      </c>
      <c r="D36" s="4" t="s">
        <v>37</v>
      </c>
      <c r="E36" s="4" t="s">
        <v>17</v>
      </c>
      <c r="F36" s="4" t="s">
        <v>115</v>
      </c>
      <c r="G36" s="5">
        <v>30</v>
      </c>
      <c r="H36" s="4" t="s">
        <v>116</v>
      </c>
      <c r="I36" s="4" t="s">
        <v>117</v>
      </c>
      <c r="J36" s="5">
        <v>1</v>
      </c>
      <c r="K36" s="6">
        <v>1500</v>
      </c>
      <c r="L36" s="6">
        <v>1500</v>
      </c>
      <c r="M36" s="7">
        <f t="shared" si="0"/>
        <v>1500</v>
      </c>
      <c r="N36" s="8">
        <v>0.15</v>
      </c>
      <c r="O36" s="7">
        <f t="shared" si="1"/>
        <v>225</v>
      </c>
      <c r="P36" s="7">
        <f t="shared" si="2"/>
        <v>1275</v>
      </c>
    </row>
    <row r="37" spans="1:16" ht="15" customHeight="1" x14ac:dyDescent="0.35">
      <c r="A37" s="9" t="s">
        <v>118</v>
      </c>
      <c r="B37" s="9" t="s">
        <v>113</v>
      </c>
      <c r="C37" s="9" t="s">
        <v>5</v>
      </c>
      <c r="D37" s="9" t="s">
        <v>57</v>
      </c>
      <c r="E37" s="9" t="s">
        <v>17</v>
      </c>
      <c r="F37" s="9" t="s">
        <v>119</v>
      </c>
      <c r="G37" s="10">
        <v>30</v>
      </c>
      <c r="H37" s="9" t="s">
        <v>39</v>
      </c>
      <c r="I37" s="9" t="s">
        <v>83</v>
      </c>
      <c r="J37" s="10">
        <v>2</v>
      </c>
      <c r="K37" s="11">
        <v>1200</v>
      </c>
      <c r="L37" s="11">
        <v>1100</v>
      </c>
      <c r="M37" s="12">
        <f t="shared" si="0"/>
        <v>2200</v>
      </c>
      <c r="N37" s="13">
        <v>0.15</v>
      </c>
      <c r="O37" s="12">
        <f t="shared" si="1"/>
        <v>330</v>
      </c>
      <c r="P37" s="12">
        <f t="shared" si="2"/>
        <v>1870</v>
      </c>
    </row>
    <row r="38" spans="1:16" ht="15" customHeight="1" x14ac:dyDescent="0.35">
      <c r="A38" s="4" t="s">
        <v>120</v>
      </c>
      <c r="B38" s="4" t="s">
        <v>113</v>
      </c>
      <c r="C38" s="4" t="s">
        <v>5</v>
      </c>
      <c r="D38" s="4" t="s">
        <v>57</v>
      </c>
      <c r="E38" s="4" t="s">
        <v>17</v>
      </c>
      <c r="F38" s="4" t="s">
        <v>121</v>
      </c>
      <c r="G38" s="5">
        <v>30</v>
      </c>
      <c r="H38" s="4" t="s">
        <v>54</v>
      </c>
      <c r="I38" s="4" t="s">
        <v>122</v>
      </c>
      <c r="J38" s="5">
        <v>1</v>
      </c>
      <c r="K38" s="6">
        <v>2200</v>
      </c>
      <c r="L38" s="6">
        <v>2200</v>
      </c>
      <c r="M38" s="7">
        <f t="shared" si="0"/>
        <v>2200</v>
      </c>
      <c r="N38" s="8">
        <v>0.15</v>
      </c>
      <c r="O38" s="7">
        <f t="shared" si="1"/>
        <v>330</v>
      </c>
      <c r="P38" s="7">
        <f t="shared" si="2"/>
        <v>1870</v>
      </c>
    </row>
    <row r="39" spans="1:16" ht="15" customHeight="1" x14ac:dyDescent="0.35">
      <c r="A39" s="9" t="s">
        <v>123</v>
      </c>
      <c r="B39" s="9" t="s">
        <v>113</v>
      </c>
      <c r="C39" s="9" t="s">
        <v>5</v>
      </c>
      <c r="D39" s="9" t="s">
        <v>75</v>
      </c>
      <c r="E39" s="9" t="s">
        <v>17</v>
      </c>
      <c r="F39" s="9" t="s">
        <v>76</v>
      </c>
      <c r="G39" s="10">
        <v>60</v>
      </c>
      <c r="H39" s="9" t="s">
        <v>124</v>
      </c>
      <c r="I39" s="9" t="s">
        <v>125</v>
      </c>
      <c r="J39" s="10">
        <v>1</v>
      </c>
      <c r="K39" s="11">
        <v>3500</v>
      </c>
      <c r="L39" s="11">
        <v>4000</v>
      </c>
      <c r="M39" s="12">
        <f t="shared" si="0"/>
        <v>4000</v>
      </c>
      <c r="N39" s="13">
        <v>0.15</v>
      </c>
      <c r="O39" s="12">
        <f t="shared" si="1"/>
        <v>600</v>
      </c>
      <c r="P39" s="12">
        <f t="shared" si="2"/>
        <v>3400</v>
      </c>
    </row>
    <row r="40" spans="1:16" ht="15" customHeight="1" x14ac:dyDescent="0.35">
      <c r="A40" s="4" t="s">
        <v>126</v>
      </c>
      <c r="B40" s="4" t="s">
        <v>113</v>
      </c>
      <c r="C40" s="4" t="s">
        <v>5</v>
      </c>
      <c r="D40" s="4" t="s">
        <v>75</v>
      </c>
      <c r="E40" s="4" t="s">
        <v>17</v>
      </c>
      <c r="F40" s="4" t="s">
        <v>127</v>
      </c>
      <c r="G40" s="5">
        <v>30</v>
      </c>
      <c r="H40" s="4" t="s">
        <v>39</v>
      </c>
      <c r="I40" s="4" t="s">
        <v>73</v>
      </c>
      <c r="J40" s="5">
        <v>2</v>
      </c>
      <c r="K40" s="6">
        <v>1200</v>
      </c>
      <c r="L40" s="6">
        <v>1200</v>
      </c>
      <c r="M40" s="7">
        <f t="shared" si="0"/>
        <v>2400</v>
      </c>
      <c r="N40" s="8">
        <v>0.15</v>
      </c>
      <c r="O40" s="7">
        <f t="shared" si="1"/>
        <v>360</v>
      </c>
      <c r="P40" s="7">
        <f t="shared" si="2"/>
        <v>2040</v>
      </c>
    </row>
    <row r="41" spans="1:16" ht="15" customHeight="1" x14ac:dyDescent="0.35">
      <c r="A41" s="9" t="s">
        <v>128</v>
      </c>
      <c r="B41" s="9" t="s">
        <v>113</v>
      </c>
      <c r="C41" s="9" t="s">
        <v>5</v>
      </c>
      <c r="D41" s="9" t="s">
        <v>91</v>
      </c>
      <c r="E41" s="9" t="s">
        <v>17</v>
      </c>
      <c r="F41" s="9" t="s">
        <v>129</v>
      </c>
      <c r="G41" s="10">
        <v>30</v>
      </c>
      <c r="H41" s="9" t="s">
        <v>39</v>
      </c>
      <c r="I41" s="9" t="s">
        <v>117</v>
      </c>
      <c r="J41" s="10">
        <v>2</v>
      </c>
      <c r="K41" s="11">
        <v>1200</v>
      </c>
      <c r="L41" s="11">
        <v>1200</v>
      </c>
      <c r="M41" s="12">
        <f t="shared" si="0"/>
        <v>2400</v>
      </c>
      <c r="N41" s="13">
        <v>0.15</v>
      </c>
      <c r="O41" s="12">
        <f t="shared" si="1"/>
        <v>360</v>
      </c>
      <c r="P41" s="12">
        <f t="shared" si="2"/>
        <v>2040</v>
      </c>
    </row>
    <row r="42" spans="1:16" ht="15" customHeight="1" x14ac:dyDescent="0.35">
      <c r="A42" s="4" t="s">
        <v>130</v>
      </c>
      <c r="B42" s="4" t="s">
        <v>113</v>
      </c>
      <c r="C42" s="4" t="s">
        <v>5</v>
      </c>
      <c r="D42" s="4" t="s">
        <v>91</v>
      </c>
      <c r="E42" s="4" t="s">
        <v>17</v>
      </c>
      <c r="F42" s="4" t="s">
        <v>131</v>
      </c>
      <c r="G42" s="5">
        <v>30</v>
      </c>
      <c r="H42" s="4" t="s">
        <v>54</v>
      </c>
      <c r="I42" s="4" t="s">
        <v>132</v>
      </c>
      <c r="J42" s="5">
        <v>1</v>
      </c>
      <c r="K42" s="6">
        <v>2200</v>
      </c>
      <c r="L42" s="6">
        <v>2200</v>
      </c>
      <c r="M42" s="7">
        <f t="shared" si="0"/>
        <v>2200</v>
      </c>
      <c r="N42" s="8">
        <v>0.15</v>
      </c>
      <c r="O42" s="7">
        <f t="shared" si="1"/>
        <v>330</v>
      </c>
      <c r="P42" s="7">
        <f t="shared" si="2"/>
        <v>1870</v>
      </c>
    </row>
    <row r="43" spans="1:16" ht="15" customHeight="1" x14ac:dyDescent="0.35">
      <c r="A43" s="9" t="s">
        <v>133</v>
      </c>
      <c r="B43" s="9" t="s">
        <v>113</v>
      </c>
      <c r="C43" s="9" t="s">
        <v>5</v>
      </c>
      <c r="D43" s="9" t="s">
        <v>104</v>
      </c>
      <c r="E43" s="9" t="s">
        <v>17</v>
      </c>
      <c r="F43" s="9" t="s">
        <v>134</v>
      </c>
      <c r="G43" s="10">
        <v>30</v>
      </c>
      <c r="H43" s="9" t="s">
        <v>39</v>
      </c>
      <c r="I43" s="9" t="s">
        <v>40</v>
      </c>
      <c r="J43" s="10">
        <v>2</v>
      </c>
      <c r="K43" s="11">
        <v>1200</v>
      </c>
      <c r="L43" s="11">
        <v>1200</v>
      </c>
      <c r="M43" s="12">
        <f t="shared" si="0"/>
        <v>2400</v>
      </c>
      <c r="N43" s="13">
        <v>0.15</v>
      </c>
      <c r="O43" s="12">
        <f t="shared" si="1"/>
        <v>360</v>
      </c>
      <c r="P43" s="12">
        <f t="shared" si="2"/>
        <v>2040</v>
      </c>
    </row>
    <row r="44" spans="1:16" ht="15" customHeight="1" x14ac:dyDescent="0.35">
      <c r="A44" s="4" t="s">
        <v>135</v>
      </c>
      <c r="B44" s="4" t="s">
        <v>113</v>
      </c>
      <c r="C44" s="4" t="s">
        <v>5</v>
      </c>
      <c r="D44" s="4" t="s">
        <v>104</v>
      </c>
      <c r="E44" s="4" t="s">
        <v>17</v>
      </c>
      <c r="F44" s="4" t="s">
        <v>136</v>
      </c>
      <c r="G44" s="5">
        <v>30</v>
      </c>
      <c r="H44" s="4" t="s">
        <v>116</v>
      </c>
      <c r="I44" s="4" t="s">
        <v>83</v>
      </c>
      <c r="J44" s="5">
        <v>1</v>
      </c>
      <c r="K44" s="6">
        <v>1500</v>
      </c>
      <c r="L44" s="6">
        <v>1400</v>
      </c>
      <c r="M44" s="7">
        <f t="shared" si="0"/>
        <v>1400</v>
      </c>
      <c r="N44" s="8">
        <v>0.15</v>
      </c>
      <c r="O44" s="7">
        <f t="shared" si="1"/>
        <v>210</v>
      </c>
      <c r="P44" s="7">
        <f t="shared" si="2"/>
        <v>1190</v>
      </c>
    </row>
    <row r="45" spans="1:16" ht="15" customHeight="1" x14ac:dyDescent="0.35">
      <c r="A45" s="14" t="s">
        <v>137</v>
      </c>
      <c r="B45" s="15"/>
      <c r="C45" s="15"/>
      <c r="D45" s="15"/>
      <c r="E45" s="15"/>
      <c r="F45" s="15"/>
      <c r="G45" s="15"/>
      <c r="H45" s="15"/>
      <c r="I45" s="15"/>
      <c r="J45" s="16">
        <f>SUM(J12:J44)</f>
        <v>51</v>
      </c>
      <c r="K45" s="15"/>
      <c r="L45" s="15"/>
      <c r="M45" s="17">
        <f>SUM(M12:M44)</f>
        <v>216900</v>
      </c>
      <c r="N45" s="15"/>
      <c r="O45" s="17">
        <f>SUM(O12:O44)</f>
        <v>42225</v>
      </c>
      <c r="P45" s="17">
        <f>SUM(P12:P44)</f>
        <v>174675</v>
      </c>
    </row>
    <row r="46" spans="1:16" ht="15.75" customHeight="1" x14ac:dyDescent="0.35">
      <c r="A46" s="18" t="s">
        <v>138</v>
      </c>
      <c r="B46" s="19"/>
      <c r="C46" s="19"/>
      <c r="D46" s="19"/>
      <c r="E46" s="19"/>
      <c r="F46" s="19"/>
      <c r="G46" s="19"/>
      <c r="H46" s="19"/>
      <c r="I46" s="19"/>
      <c r="J46" s="20">
        <f>J12+J13+J14+J15+J16+J17+J18+J19+J20+J21+J22+J23+J24+J25+J26+J27+J28+J29+J30+J31+J32+J33+J34</f>
        <v>36</v>
      </c>
      <c r="K46" s="19"/>
      <c r="L46" s="19"/>
      <c r="M46" s="21">
        <f>M12+M13+M14+M15+M16+M17+M18+M19+M20+M21+M22+M23+M24+M25+M26+M27+M28+M29+M30+M31+M32+M33+M34</f>
        <v>193800</v>
      </c>
      <c r="N46" s="19"/>
      <c r="O46" s="21">
        <f>O12+O13+O14+O15+O16+O17+O18+O19+O20+O21+O22+O23+O24+O25+O26+O27+O28+O29+O30+O31+O32+O33+O34</f>
        <v>38760</v>
      </c>
      <c r="P46" s="21">
        <f>P12+P13+P14+P15+P16+P17+P18+P19+P20+P21+P22+P23+P24+P25+P26+P27+P28+P29+P30+P31+P32+P33+P34</f>
        <v>155040</v>
      </c>
    </row>
    <row r="47" spans="1:16" ht="15" customHeight="1" x14ac:dyDescent="0.35">
      <c r="A47" s="22" t="s">
        <v>139</v>
      </c>
      <c r="B47" s="23"/>
      <c r="C47" s="23"/>
      <c r="D47" s="23"/>
      <c r="E47" s="23"/>
      <c r="F47" s="23"/>
      <c r="G47" s="23"/>
      <c r="H47" s="23"/>
      <c r="I47" s="23"/>
      <c r="J47" s="24">
        <f>J35+J36+J37+J38+J39+J40+J41+J42+J43+J44</f>
        <v>15</v>
      </c>
      <c r="K47" s="23"/>
      <c r="L47" s="23"/>
      <c r="M47" s="25">
        <f>M35+M36+M37+M38+M39+M40+M41+M42+M43+M44</f>
        <v>23100</v>
      </c>
      <c r="N47" s="23"/>
      <c r="O47" s="25">
        <f>O35+O36+O37+O38+O39+O40+O41+O42+O43+O44</f>
        <v>3465</v>
      </c>
      <c r="P47" s="25">
        <f>P35+P36+P37+P38+P39+P40+P41+P42+P43+P44</f>
        <v>19635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9"/>
  <sheetViews>
    <sheetView showGridLines="0" zoomScaleNormal="100" workbookViewId="0">
      <pane ySplit="6" topLeftCell="A7" activePane="bottomLeft" state="frozen"/>
      <selection pane="bottomLeft" activeCell="G7" sqref="G7"/>
    </sheetView>
  </sheetViews>
  <sheetFormatPr defaultColWidth="8.6328125" defaultRowHeight="14.5" x14ac:dyDescent="0.35"/>
  <cols>
    <col min="1" max="1" width="28" customWidth="1"/>
    <col min="2" max="2" width="26" customWidth="1"/>
    <col min="3" max="3" width="10" customWidth="1"/>
    <col min="4" max="4" width="16" customWidth="1"/>
    <col min="5" max="5" width="15" customWidth="1"/>
    <col min="6" max="6" width="16" customWidth="1"/>
    <col min="7" max="7" width="12" customWidth="1"/>
    <col min="8" max="8" width="14" customWidth="1"/>
    <col min="9" max="10" width="12" customWidth="1"/>
    <col min="11" max="11" width="16" customWidth="1"/>
    <col min="12" max="13" width="14" customWidth="1"/>
    <col min="14" max="14" width="16" customWidth="1"/>
  </cols>
  <sheetData>
    <row r="1" spans="1:14" ht="15" customHeight="1" x14ac:dyDescent="0.35">
      <c r="A1" s="1" t="s">
        <v>140</v>
      </c>
      <c r="B1" s="2" t="s">
        <v>1</v>
      </c>
    </row>
    <row r="2" spans="1:14" ht="15" customHeight="1" x14ac:dyDescent="0.35">
      <c r="A2" s="1" t="s">
        <v>6</v>
      </c>
      <c r="B2" s="2" t="s">
        <v>141</v>
      </c>
    </row>
    <row r="3" spans="1:14" ht="15" customHeight="1" x14ac:dyDescent="0.35">
      <c r="A3" s="1" t="s">
        <v>142</v>
      </c>
      <c r="B3" s="2" t="s">
        <v>143</v>
      </c>
    </row>
    <row r="4" spans="1:14" ht="15" customHeight="1" x14ac:dyDescent="0.35">
      <c r="A4" s="1" t="s">
        <v>144</v>
      </c>
      <c r="B4" s="2" t="s">
        <v>145</v>
      </c>
    </row>
    <row r="5" spans="1:14" ht="7.5" customHeight="1" x14ac:dyDescent="0.35"/>
    <row r="6" spans="1:14" ht="49.5" customHeight="1" x14ac:dyDescent="0.35">
      <c r="A6" s="3" t="s">
        <v>26</v>
      </c>
      <c r="B6" s="3" t="s">
        <v>146</v>
      </c>
      <c r="C6" s="3" t="s">
        <v>147</v>
      </c>
      <c r="D6" s="3" t="s">
        <v>30</v>
      </c>
      <c r="E6" s="3" t="s">
        <v>32</v>
      </c>
      <c r="F6" s="3" t="s">
        <v>33</v>
      </c>
      <c r="G6" s="3" t="s">
        <v>148</v>
      </c>
      <c r="H6" s="3" t="s">
        <v>149</v>
      </c>
      <c r="I6" s="3" t="s">
        <v>150</v>
      </c>
      <c r="J6" s="3" t="s">
        <v>151</v>
      </c>
      <c r="K6" s="3" t="s">
        <v>152</v>
      </c>
      <c r="L6" s="3" t="s">
        <v>153</v>
      </c>
      <c r="M6" s="3" t="s">
        <v>154</v>
      </c>
      <c r="N6" s="3" t="s">
        <v>155</v>
      </c>
    </row>
    <row r="7" spans="1:14" ht="15" customHeight="1" x14ac:dyDescent="0.35">
      <c r="A7" s="4" t="s">
        <v>40</v>
      </c>
      <c r="B7" s="4" t="s">
        <v>39</v>
      </c>
      <c r="C7" s="5">
        <f>'Broadcast Ad Sales Log'!J12+'Broadcast Ad Sales Log'!J23+'Broadcast Ad Sales Log'!J32+'Broadcast Ad Sales Log'!J35+'Broadcast Ad Sales Log'!J43</f>
        <v>10</v>
      </c>
      <c r="D7" s="7">
        <f>'Broadcast Ad Sales Log'!M12+'Broadcast Ad Sales Log'!M23+'Broadcast Ad Sales Log'!M32+'Broadcast Ad Sales Log'!M35+'Broadcast Ad Sales Log'!M43</f>
        <v>30000</v>
      </c>
      <c r="E7" s="7">
        <f>'Broadcast Ad Sales Log'!O12+'Broadcast Ad Sales Log'!O23+'Broadcast Ad Sales Log'!O32+'Broadcast Ad Sales Log'!O35+'Broadcast Ad Sales Log'!O43</f>
        <v>5760</v>
      </c>
      <c r="F7" s="7">
        <f>'Broadcast Ad Sales Log'!P12+'Broadcast Ad Sales Log'!P23+'Broadcast Ad Sales Log'!P32+'Broadcast Ad Sales Log'!P35+'Broadcast Ad Sales Log'!P43</f>
        <v>24240</v>
      </c>
      <c r="G7" s="8">
        <v>0</v>
      </c>
      <c r="H7" s="8">
        <v>0.1</v>
      </c>
      <c r="I7" s="8">
        <v>0</v>
      </c>
      <c r="J7" s="26">
        <f t="shared" ref="J7:J28" si="0">G7+H7+I7</f>
        <v>0.1</v>
      </c>
      <c r="K7" s="7">
        <f t="shared" ref="K7:K28" si="1">F7*G7</f>
        <v>0</v>
      </c>
      <c r="L7" s="7">
        <f t="shared" ref="L7:L28" si="2">F7*H7</f>
        <v>2424</v>
      </c>
      <c r="M7" s="7">
        <f t="shared" ref="M7:M28" si="3">F7*I7</f>
        <v>0</v>
      </c>
      <c r="N7" s="7">
        <f t="shared" ref="N7:N28" si="4">F7-K7-L7-M7</f>
        <v>21816</v>
      </c>
    </row>
    <row r="8" spans="1:14" ht="15" customHeight="1" x14ac:dyDescent="0.35">
      <c r="A8" s="9" t="s">
        <v>43</v>
      </c>
      <c r="B8" s="9" t="s">
        <v>39</v>
      </c>
      <c r="C8" s="10">
        <f>'Broadcast Ad Sales Log'!J13</f>
        <v>2</v>
      </c>
      <c r="D8" s="12">
        <f>'Broadcast Ad Sales Log'!M13</f>
        <v>7800</v>
      </c>
      <c r="E8" s="12">
        <f>'Broadcast Ad Sales Log'!O13</f>
        <v>1560</v>
      </c>
      <c r="F8" s="12">
        <f>'Broadcast Ad Sales Log'!P13</f>
        <v>6240</v>
      </c>
      <c r="G8" s="13">
        <v>0</v>
      </c>
      <c r="H8" s="13">
        <v>0.1</v>
      </c>
      <c r="I8" s="13">
        <v>0</v>
      </c>
      <c r="J8" s="27">
        <f t="shared" si="0"/>
        <v>0.1</v>
      </c>
      <c r="K8" s="12">
        <f t="shared" si="1"/>
        <v>0</v>
      </c>
      <c r="L8" s="12">
        <f t="shared" si="2"/>
        <v>624</v>
      </c>
      <c r="M8" s="12">
        <f t="shared" si="3"/>
        <v>0</v>
      </c>
      <c r="N8" s="12">
        <f t="shared" si="4"/>
        <v>5616</v>
      </c>
    </row>
    <row r="9" spans="1:14" ht="15" customHeight="1" x14ac:dyDescent="0.35">
      <c r="A9" s="4" t="s">
        <v>47</v>
      </c>
      <c r="B9" s="4" t="s">
        <v>46</v>
      </c>
      <c r="C9" s="5">
        <f>'Broadcast Ad Sales Log'!J14</f>
        <v>1</v>
      </c>
      <c r="D9" s="7">
        <f>'Broadcast Ad Sales Log'!M14</f>
        <v>8500</v>
      </c>
      <c r="E9" s="7">
        <f>'Broadcast Ad Sales Log'!O14</f>
        <v>1700</v>
      </c>
      <c r="F9" s="7">
        <f>'Broadcast Ad Sales Log'!P14</f>
        <v>6800</v>
      </c>
      <c r="G9" s="8">
        <v>0</v>
      </c>
      <c r="H9" s="8">
        <v>0.1</v>
      </c>
      <c r="I9" s="8">
        <v>0.02</v>
      </c>
      <c r="J9" s="26">
        <f t="shared" si="0"/>
        <v>0.12000000000000001</v>
      </c>
      <c r="K9" s="7">
        <f t="shared" si="1"/>
        <v>0</v>
      </c>
      <c r="L9" s="7">
        <f t="shared" si="2"/>
        <v>680</v>
      </c>
      <c r="M9" s="7">
        <f t="shared" si="3"/>
        <v>136</v>
      </c>
      <c r="N9" s="7">
        <f t="shared" si="4"/>
        <v>5984</v>
      </c>
    </row>
    <row r="10" spans="1:14" ht="15" customHeight="1" x14ac:dyDescent="0.35">
      <c r="A10" s="9" t="s">
        <v>51</v>
      </c>
      <c r="B10" s="9" t="s">
        <v>50</v>
      </c>
      <c r="C10" s="10">
        <f>'Broadcast Ad Sales Log'!J15</f>
        <v>1</v>
      </c>
      <c r="D10" s="12">
        <f>'Broadcast Ad Sales Log'!M15</f>
        <v>1800</v>
      </c>
      <c r="E10" s="12">
        <f>'Broadcast Ad Sales Log'!O15</f>
        <v>360</v>
      </c>
      <c r="F10" s="12">
        <f>'Broadcast Ad Sales Log'!P15</f>
        <v>1440</v>
      </c>
      <c r="G10" s="13">
        <v>0</v>
      </c>
      <c r="H10" s="13">
        <v>0.1</v>
      </c>
      <c r="I10" s="13">
        <v>0</v>
      </c>
      <c r="J10" s="27">
        <f t="shared" si="0"/>
        <v>0.1</v>
      </c>
      <c r="K10" s="12">
        <f t="shared" si="1"/>
        <v>0</v>
      </c>
      <c r="L10" s="12">
        <f t="shared" si="2"/>
        <v>144</v>
      </c>
      <c r="M10" s="12">
        <f t="shared" si="3"/>
        <v>0</v>
      </c>
      <c r="N10" s="12">
        <f t="shared" si="4"/>
        <v>1296</v>
      </c>
    </row>
    <row r="11" spans="1:14" ht="15" customHeight="1" x14ac:dyDescent="0.35">
      <c r="A11" s="4" t="s">
        <v>55</v>
      </c>
      <c r="B11" s="4" t="s">
        <v>54</v>
      </c>
      <c r="C11" s="5">
        <f>'Broadcast Ad Sales Log'!J16</f>
        <v>1</v>
      </c>
      <c r="D11" s="7">
        <f>'Broadcast Ad Sales Log'!M16</f>
        <v>5500</v>
      </c>
      <c r="E11" s="7">
        <f>'Broadcast Ad Sales Log'!O16</f>
        <v>1100</v>
      </c>
      <c r="F11" s="7">
        <f>'Broadcast Ad Sales Log'!P16</f>
        <v>4400</v>
      </c>
      <c r="G11" s="8">
        <v>0.08</v>
      </c>
      <c r="H11" s="8">
        <v>0.1</v>
      </c>
      <c r="I11" s="8">
        <v>0</v>
      </c>
      <c r="J11" s="26">
        <f t="shared" si="0"/>
        <v>0.18</v>
      </c>
      <c r="K11" s="7">
        <f t="shared" si="1"/>
        <v>352</v>
      </c>
      <c r="L11" s="7">
        <f t="shared" si="2"/>
        <v>440</v>
      </c>
      <c r="M11" s="7">
        <f t="shared" si="3"/>
        <v>0</v>
      </c>
      <c r="N11" s="7">
        <f t="shared" si="4"/>
        <v>3608</v>
      </c>
    </row>
    <row r="12" spans="1:14" ht="15" customHeight="1" x14ac:dyDescent="0.35">
      <c r="A12" s="9" t="s">
        <v>59</v>
      </c>
      <c r="B12" s="9" t="s">
        <v>39</v>
      </c>
      <c r="C12" s="10">
        <f>'Broadcast Ad Sales Log'!J17+'Broadcast Ad Sales Log'!J27</f>
        <v>4</v>
      </c>
      <c r="D12" s="12">
        <f>'Broadcast Ad Sales Log'!M17+'Broadcast Ad Sales Log'!M27</f>
        <v>23200</v>
      </c>
      <c r="E12" s="12">
        <f>'Broadcast Ad Sales Log'!O17+'Broadcast Ad Sales Log'!O27</f>
        <v>4640</v>
      </c>
      <c r="F12" s="12">
        <f>'Broadcast Ad Sales Log'!P17+'Broadcast Ad Sales Log'!P27</f>
        <v>18560</v>
      </c>
      <c r="G12" s="13">
        <v>0</v>
      </c>
      <c r="H12" s="13">
        <v>0.1</v>
      </c>
      <c r="I12" s="13">
        <v>0</v>
      </c>
      <c r="J12" s="27">
        <f t="shared" si="0"/>
        <v>0.1</v>
      </c>
      <c r="K12" s="12">
        <f t="shared" si="1"/>
        <v>0</v>
      </c>
      <c r="L12" s="12">
        <f t="shared" si="2"/>
        <v>1856</v>
      </c>
      <c r="M12" s="12">
        <f t="shared" si="3"/>
        <v>0</v>
      </c>
      <c r="N12" s="12">
        <f t="shared" si="4"/>
        <v>16704</v>
      </c>
    </row>
    <row r="13" spans="1:14" ht="15" customHeight="1" x14ac:dyDescent="0.35">
      <c r="A13" s="4" t="s">
        <v>62</v>
      </c>
      <c r="B13" s="4" t="s">
        <v>39</v>
      </c>
      <c r="C13" s="5">
        <f>'Broadcast Ad Sales Log'!J18</f>
        <v>2</v>
      </c>
      <c r="D13" s="7">
        <f>'Broadcast Ad Sales Log'!M18</f>
        <v>11000</v>
      </c>
      <c r="E13" s="7">
        <f>'Broadcast Ad Sales Log'!O18</f>
        <v>2200</v>
      </c>
      <c r="F13" s="7">
        <f>'Broadcast Ad Sales Log'!P18</f>
        <v>8800</v>
      </c>
      <c r="G13" s="8">
        <v>0</v>
      </c>
      <c r="H13" s="8">
        <v>0.1</v>
      </c>
      <c r="I13" s="8">
        <v>0</v>
      </c>
      <c r="J13" s="26">
        <f t="shared" si="0"/>
        <v>0.1</v>
      </c>
      <c r="K13" s="7">
        <f t="shared" si="1"/>
        <v>0</v>
      </c>
      <c r="L13" s="7">
        <f t="shared" si="2"/>
        <v>880</v>
      </c>
      <c r="M13" s="7">
        <f t="shared" si="3"/>
        <v>0</v>
      </c>
      <c r="N13" s="7">
        <f t="shared" si="4"/>
        <v>7920</v>
      </c>
    </row>
    <row r="14" spans="1:14" ht="15" customHeight="1" x14ac:dyDescent="0.35">
      <c r="A14" s="9" t="s">
        <v>66</v>
      </c>
      <c r="B14" s="9" t="s">
        <v>65</v>
      </c>
      <c r="C14" s="10">
        <f>'Broadcast Ad Sales Log'!J19+'Broadcast Ad Sales Log'!J28</f>
        <v>6</v>
      </c>
      <c r="D14" s="12">
        <f>'Broadcast Ad Sales Log'!M19+'Broadcast Ad Sales Log'!M28</f>
        <v>13200</v>
      </c>
      <c r="E14" s="12">
        <f>'Broadcast Ad Sales Log'!O19+'Broadcast Ad Sales Log'!O28</f>
        <v>2640</v>
      </c>
      <c r="F14" s="12">
        <f>'Broadcast Ad Sales Log'!P19+'Broadcast Ad Sales Log'!P28</f>
        <v>10560</v>
      </c>
      <c r="G14" s="13">
        <v>0</v>
      </c>
      <c r="H14" s="13">
        <v>0.1</v>
      </c>
      <c r="I14" s="13">
        <v>0</v>
      </c>
      <c r="J14" s="27">
        <f t="shared" si="0"/>
        <v>0.1</v>
      </c>
      <c r="K14" s="12">
        <f t="shared" si="1"/>
        <v>0</v>
      </c>
      <c r="L14" s="12">
        <f t="shared" si="2"/>
        <v>1056</v>
      </c>
      <c r="M14" s="12">
        <f t="shared" si="3"/>
        <v>0</v>
      </c>
      <c r="N14" s="12">
        <f t="shared" si="4"/>
        <v>9504</v>
      </c>
    </row>
    <row r="15" spans="1:14" ht="15" customHeight="1" x14ac:dyDescent="0.35">
      <c r="A15" s="4" t="s">
        <v>69</v>
      </c>
      <c r="B15" s="4" t="s">
        <v>54</v>
      </c>
      <c r="C15" s="5">
        <f>'Broadcast Ad Sales Log'!J20</f>
        <v>1</v>
      </c>
      <c r="D15" s="7">
        <f>'Broadcast Ad Sales Log'!M20</f>
        <v>6200</v>
      </c>
      <c r="E15" s="7">
        <f>'Broadcast Ad Sales Log'!O20</f>
        <v>1240</v>
      </c>
      <c r="F15" s="7">
        <f>'Broadcast Ad Sales Log'!P20</f>
        <v>4960</v>
      </c>
      <c r="G15" s="8">
        <v>0.08</v>
      </c>
      <c r="H15" s="8">
        <v>0.1</v>
      </c>
      <c r="I15" s="8">
        <v>0</v>
      </c>
      <c r="J15" s="26">
        <f t="shared" si="0"/>
        <v>0.18</v>
      </c>
      <c r="K15" s="7">
        <f t="shared" si="1"/>
        <v>396.8</v>
      </c>
      <c r="L15" s="7">
        <f t="shared" si="2"/>
        <v>496</v>
      </c>
      <c r="M15" s="7">
        <f t="shared" si="3"/>
        <v>0</v>
      </c>
      <c r="N15" s="7">
        <f t="shared" si="4"/>
        <v>4067.2</v>
      </c>
    </row>
    <row r="16" spans="1:14" ht="15" customHeight="1" x14ac:dyDescent="0.35">
      <c r="A16" s="9" t="s">
        <v>73</v>
      </c>
      <c r="B16" s="9" t="s">
        <v>156</v>
      </c>
      <c r="C16" s="10">
        <f>'Broadcast Ad Sales Log'!J21+'Broadcast Ad Sales Log'!J30+'Broadcast Ad Sales Log'!J40</f>
        <v>5</v>
      </c>
      <c r="D16" s="12">
        <f>'Broadcast Ad Sales Log'!M21+'Broadcast Ad Sales Log'!M30+'Broadcast Ad Sales Log'!M40</f>
        <v>20500</v>
      </c>
      <c r="E16" s="12">
        <f>'Broadcast Ad Sales Log'!O21+'Broadcast Ad Sales Log'!O30+'Broadcast Ad Sales Log'!O40</f>
        <v>3980</v>
      </c>
      <c r="F16" s="12">
        <f>'Broadcast Ad Sales Log'!P21+'Broadcast Ad Sales Log'!P30+'Broadcast Ad Sales Log'!P40</f>
        <v>16520</v>
      </c>
      <c r="G16" s="13">
        <v>0</v>
      </c>
      <c r="H16" s="13">
        <v>0.1</v>
      </c>
      <c r="I16" s="13">
        <v>0</v>
      </c>
      <c r="J16" s="27">
        <f t="shared" si="0"/>
        <v>0.1</v>
      </c>
      <c r="K16" s="12">
        <f t="shared" si="1"/>
        <v>0</v>
      </c>
      <c r="L16" s="12">
        <f t="shared" si="2"/>
        <v>1652</v>
      </c>
      <c r="M16" s="12">
        <f t="shared" si="3"/>
        <v>0</v>
      </c>
      <c r="N16" s="12">
        <f t="shared" si="4"/>
        <v>14868</v>
      </c>
    </row>
    <row r="17" spans="1:14" ht="15" customHeight="1" x14ac:dyDescent="0.35">
      <c r="A17" s="4" t="s">
        <v>78</v>
      </c>
      <c r="B17" s="4" t="s">
        <v>77</v>
      </c>
      <c r="C17" s="5">
        <f>'Broadcast Ad Sales Log'!J22</f>
        <v>1</v>
      </c>
      <c r="D17" s="7">
        <f>'Broadcast Ad Sales Log'!M22</f>
        <v>22000</v>
      </c>
      <c r="E17" s="7">
        <f>'Broadcast Ad Sales Log'!O22</f>
        <v>4400</v>
      </c>
      <c r="F17" s="7">
        <f>'Broadcast Ad Sales Log'!P22</f>
        <v>17600</v>
      </c>
      <c r="G17" s="8">
        <v>0</v>
      </c>
      <c r="H17" s="8">
        <v>0.1</v>
      </c>
      <c r="I17" s="8">
        <v>0.02</v>
      </c>
      <c r="J17" s="26">
        <f t="shared" si="0"/>
        <v>0.12000000000000001</v>
      </c>
      <c r="K17" s="7">
        <f t="shared" si="1"/>
        <v>0</v>
      </c>
      <c r="L17" s="7">
        <f t="shared" si="2"/>
        <v>1760</v>
      </c>
      <c r="M17" s="7">
        <f t="shared" si="3"/>
        <v>352</v>
      </c>
      <c r="N17" s="7">
        <f t="shared" si="4"/>
        <v>15488</v>
      </c>
    </row>
    <row r="18" spans="1:14" ht="15" customHeight="1" x14ac:dyDescent="0.35">
      <c r="A18" s="9" t="s">
        <v>83</v>
      </c>
      <c r="B18" s="9" t="s">
        <v>157</v>
      </c>
      <c r="C18" s="10">
        <f>'Broadcast Ad Sales Log'!J24+'Broadcast Ad Sales Log'!J37+'Broadcast Ad Sales Log'!J44</f>
        <v>5</v>
      </c>
      <c r="D18" s="12">
        <f>'Broadcast Ad Sales Log'!M24+'Broadcast Ad Sales Log'!M37+'Broadcast Ad Sales Log'!M44</f>
        <v>11600</v>
      </c>
      <c r="E18" s="12">
        <f>'Broadcast Ad Sales Log'!O24+'Broadcast Ad Sales Log'!O37+'Broadcast Ad Sales Log'!O44</f>
        <v>2140</v>
      </c>
      <c r="F18" s="12">
        <f>'Broadcast Ad Sales Log'!P24+'Broadcast Ad Sales Log'!P37+'Broadcast Ad Sales Log'!P44</f>
        <v>9460</v>
      </c>
      <c r="G18" s="13">
        <v>0</v>
      </c>
      <c r="H18" s="13">
        <v>0.1</v>
      </c>
      <c r="I18" s="13">
        <v>0</v>
      </c>
      <c r="J18" s="27">
        <f t="shared" si="0"/>
        <v>0.1</v>
      </c>
      <c r="K18" s="12">
        <f t="shared" si="1"/>
        <v>0</v>
      </c>
      <c r="L18" s="12">
        <f t="shared" si="2"/>
        <v>946</v>
      </c>
      <c r="M18" s="12">
        <f t="shared" si="3"/>
        <v>0</v>
      </c>
      <c r="N18" s="12">
        <f t="shared" si="4"/>
        <v>8514</v>
      </c>
    </row>
    <row r="19" spans="1:14" ht="15" customHeight="1" x14ac:dyDescent="0.35">
      <c r="A19" s="4" t="s">
        <v>86</v>
      </c>
      <c r="B19" s="4" t="s">
        <v>54</v>
      </c>
      <c r="C19" s="5">
        <f>'Broadcast Ad Sales Log'!J25</f>
        <v>1</v>
      </c>
      <c r="D19" s="7">
        <f>'Broadcast Ad Sales Log'!M25</f>
        <v>6800</v>
      </c>
      <c r="E19" s="7">
        <f>'Broadcast Ad Sales Log'!O25</f>
        <v>1360</v>
      </c>
      <c r="F19" s="7">
        <f>'Broadcast Ad Sales Log'!P25</f>
        <v>5440</v>
      </c>
      <c r="G19" s="8">
        <v>0.08</v>
      </c>
      <c r="H19" s="8">
        <v>0.1</v>
      </c>
      <c r="I19" s="8">
        <v>0</v>
      </c>
      <c r="J19" s="26">
        <f t="shared" si="0"/>
        <v>0.18</v>
      </c>
      <c r="K19" s="7">
        <f t="shared" si="1"/>
        <v>435.2</v>
      </c>
      <c r="L19" s="7">
        <f t="shared" si="2"/>
        <v>544</v>
      </c>
      <c r="M19" s="7">
        <f t="shared" si="3"/>
        <v>0</v>
      </c>
      <c r="N19" s="7">
        <f t="shared" si="4"/>
        <v>4460.8</v>
      </c>
    </row>
    <row r="20" spans="1:14" ht="15" customHeight="1" x14ac:dyDescent="0.35">
      <c r="A20" s="9" t="s">
        <v>89</v>
      </c>
      <c r="B20" s="9" t="s">
        <v>39</v>
      </c>
      <c r="C20" s="10">
        <f>'Broadcast Ad Sales Log'!J26</f>
        <v>1</v>
      </c>
      <c r="D20" s="12">
        <f>'Broadcast Ad Sales Log'!M26</f>
        <v>7500</v>
      </c>
      <c r="E20" s="12">
        <f>'Broadcast Ad Sales Log'!O26</f>
        <v>1500</v>
      </c>
      <c r="F20" s="12">
        <f>'Broadcast Ad Sales Log'!P26</f>
        <v>6000</v>
      </c>
      <c r="G20" s="13">
        <v>0</v>
      </c>
      <c r="H20" s="13">
        <v>0.1</v>
      </c>
      <c r="I20" s="13">
        <v>0</v>
      </c>
      <c r="J20" s="27">
        <f t="shared" si="0"/>
        <v>0.1</v>
      </c>
      <c r="K20" s="12">
        <f t="shared" si="1"/>
        <v>0</v>
      </c>
      <c r="L20" s="12">
        <f t="shared" si="2"/>
        <v>600</v>
      </c>
      <c r="M20" s="12">
        <f t="shared" si="3"/>
        <v>0</v>
      </c>
      <c r="N20" s="12">
        <f t="shared" si="4"/>
        <v>5400</v>
      </c>
    </row>
    <row r="21" spans="1:14" ht="15" customHeight="1" x14ac:dyDescent="0.35">
      <c r="A21" s="4" t="s">
        <v>97</v>
      </c>
      <c r="B21" s="4" t="s">
        <v>54</v>
      </c>
      <c r="C21" s="5">
        <f>'Broadcast Ad Sales Log'!J29</f>
        <v>1</v>
      </c>
      <c r="D21" s="7">
        <f>'Broadcast Ad Sales Log'!M29</f>
        <v>6200</v>
      </c>
      <c r="E21" s="7">
        <f>'Broadcast Ad Sales Log'!O29</f>
        <v>1240</v>
      </c>
      <c r="F21" s="7">
        <f>'Broadcast Ad Sales Log'!P29</f>
        <v>4960</v>
      </c>
      <c r="G21" s="8">
        <v>0.08</v>
      </c>
      <c r="H21" s="8">
        <v>0.1</v>
      </c>
      <c r="I21" s="8">
        <v>0</v>
      </c>
      <c r="J21" s="26">
        <f t="shared" si="0"/>
        <v>0.18</v>
      </c>
      <c r="K21" s="7">
        <f t="shared" si="1"/>
        <v>396.8</v>
      </c>
      <c r="L21" s="7">
        <f t="shared" si="2"/>
        <v>496</v>
      </c>
      <c r="M21" s="7">
        <f t="shared" si="3"/>
        <v>0</v>
      </c>
      <c r="N21" s="7">
        <f t="shared" si="4"/>
        <v>4067.2</v>
      </c>
    </row>
    <row r="22" spans="1:14" ht="15" customHeight="1" x14ac:dyDescent="0.35">
      <c r="A22" s="9" t="s">
        <v>102</v>
      </c>
      <c r="B22" s="9" t="s">
        <v>46</v>
      </c>
      <c r="C22" s="10">
        <f>'Broadcast Ad Sales Log'!J31</f>
        <v>1</v>
      </c>
      <c r="D22" s="12">
        <f>'Broadcast Ad Sales Log'!M31</f>
        <v>8500</v>
      </c>
      <c r="E22" s="12">
        <f>'Broadcast Ad Sales Log'!O31</f>
        <v>1700</v>
      </c>
      <c r="F22" s="12">
        <f>'Broadcast Ad Sales Log'!P31</f>
        <v>6800</v>
      </c>
      <c r="G22" s="13">
        <v>0</v>
      </c>
      <c r="H22" s="13">
        <v>0.1</v>
      </c>
      <c r="I22" s="13">
        <v>0</v>
      </c>
      <c r="J22" s="27">
        <f t="shared" si="0"/>
        <v>0.1</v>
      </c>
      <c r="K22" s="12">
        <f t="shared" si="1"/>
        <v>0</v>
      </c>
      <c r="L22" s="12">
        <f t="shared" si="2"/>
        <v>680</v>
      </c>
      <c r="M22" s="12">
        <f t="shared" si="3"/>
        <v>0</v>
      </c>
      <c r="N22" s="12">
        <f t="shared" si="4"/>
        <v>6120</v>
      </c>
    </row>
    <row r="23" spans="1:14" ht="15" customHeight="1" x14ac:dyDescent="0.35">
      <c r="A23" s="4" t="s">
        <v>108</v>
      </c>
      <c r="B23" s="4" t="s">
        <v>46</v>
      </c>
      <c r="C23" s="5">
        <f>'Broadcast Ad Sales Log'!J33</f>
        <v>1</v>
      </c>
      <c r="D23" s="7">
        <f>'Broadcast Ad Sales Log'!M33</f>
        <v>8500</v>
      </c>
      <c r="E23" s="7">
        <f>'Broadcast Ad Sales Log'!O33</f>
        <v>1700</v>
      </c>
      <c r="F23" s="7">
        <f>'Broadcast Ad Sales Log'!P33</f>
        <v>6800</v>
      </c>
      <c r="G23" s="8">
        <v>0</v>
      </c>
      <c r="H23" s="8">
        <v>0.1</v>
      </c>
      <c r="I23" s="8">
        <v>0.02</v>
      </c>
      <c r="J23" s="26">
        <f t="shared" si="0"/>
        <v>0.12000000000000001</v>
      </c>
      <c r="K23" s="7">
        <f t="shared" si="1"/>
        <v>0</v>
      </c>
      <c r="L23" s="7">
        <f t="shared" si="2"/>
        <v>680</v>
      </c>
      <c r="M23" s="7">
        <f t="shared" si="3"/>
        <v>136</v>
      </c>
      <c r="N23" s="7">
        <f t="shared" si="4"/>
        <v>5984</v>
      </c>
    </row>
    <row r="24" spans="1:14" ht="15" customHeight="1" x14ac:dyDescent="0.35">
      <c r="A24" s="9" t="s">
        <v>111</v>
      </c>
      <c r="B24" s="9" t="s">
        <v>54</v>
      </c>
      <c r="C24" s="10">
        <f>'Broadcast Ad Sales Log'!J34</f>
        <v>1</v>
      </c>
      <c r="D24" s="12">
        <f>'Broadcast Ad Sales Log'!M34</f>
        <v>5800</v>
      </c>
      <c r="E24" s="12">
        <f>'Broadcast Ad Sales Log'!O34</f>
        <v>1160</v>
      </c>
      <c r="F24" s="12">
        <f>'Broadcast Ad Sales Log'!P34</f>
        <v>4640</v>
      </c>
      <c r="G24" s="13">
        <v>0.08</v>
      </c>
      <c r="H24" s="13">
        <v>0.1</v>
      </c>
      <c r="I24" s="13">
        <v>0</v>
      </c>
      <c r="J24" s="27">
        <f t="shared" si="0"/>
        <v>0.18</v>
      </c>
      <c r="K24" s="12">
        <f t="shared" si="1"/>
        <v>371.2</v>
      </c>
      <c r="L24" s="12">
        <f t="shared" si="2"/>
        <v>464</v>
      </c>
      <c r="M24" s="12">
        <f t="shared" si="3"/>
        <v>0</v>
      </c>
      <c r="N24" s="12">
        <f t="shared" si="4"/>
        <v>3804.8</v>
      </c>
    </row>
    <row r="25" spans="1:14" ht="15" customHeight="1" x14ac:dyDescent="0.35">
      <c r="A25" s="4" t="s">
        <v>117</v>
      </c>
      <c r="B25" s="4" t="s">
        <v>157</v>
      </c>
      <c r="C25" s="5">
        <f>'Broadcast Ad Sales Log'!J36+'Broadcast Ad Sales Log'!J41</f>
        <v>3</v>
      </c>
      <c r="D25" s="7">
        <f>'Broadcast Ad Sales Log'!M36+'Broadcast Ad Sales Log'!M41</f>
        <v>3900</v>
      </c>
      <c r="E25" s="7">
        <f>'Broadcast Ad Sales Log'!O36+'Broadcast Ad Sales Log'!O41</f>
        <v>585</v>
      </c>
      <c r="F25" s="7">
        <f>'Broadcast Ad Sales Log'!P36+'Broadcast Ad Sales Log'!P41</f>
        <v>3315</v>
      </c>
      <c r="G25" s="8">
        <v>0</v>
      </c>
      <c r="H25" s="8">
        <v>0.1</v>
      </c>
      <c r="I25" s="8">
        <v>0</v>
      </c>
      <c r="J25" s="26">
        <f t="shared" si="0"/>
        <v>0.1</v>
      </c>
      <c r="K25" s="7">
        <f t="shared" si="1"/>
        <v>0</v>
      </c>
      <c r="L25" s="7">
        <f t="shared" si="2"/>
        <v>331.5</v>
      </c>
      <c r="M25" s="7">
        <f t="shared" si="3"/>
        <v>0</v>
      </c>
      <c r="N25" s="7">
        <f t="shared" si="4"/>
        <v>2983.5</v>
      </c>
    </row>
    <row r="26" spans="1:14" ht="15" customHeight="1" x14ac:dyDescent="0.35">
      <c r="A26" s="9" t="s">
        <v>122</v>
      </c>
      <c r="B26" s="9" t="s">
        <v>54</v>
      </c>
      <c r="C26" s="10">
        <f>'Broadcast Ad Sales Log'!J38</f>
        <v>1</v>
      </c>
      <c r="D26" s="12">
        <f>'Broadcast Ad Sales Log'!M38</f>
        <v>2200</v>
      </c>
      <c r="E26" s="12">
        <f>'Broadcast Ad Sales Log'!O38</f>
        <v>330</v>
      </c>
      <c r="F26" s="12">
        <f>'Broadcast Ad Sales Log'!P38</f>
        <v>1870</v>
      </c>
      <c r="G26" s="13">
        <v>0.08</v>
      </c>
      <c r="H26" s="13">
        <v>0.1</v>
      </c>
      <c r="I26" s="13">
        <v>0</v>
      </c>
      <c r="J26" s="27">
        <f t="shared" si="0"/>
        <v>0.18</v>
      </c>
      <c r="K26" s="12">
        <f t="shared" si="1"/>
        <v>149.6</v>
      </c>
      <c r="L26" s="12">
        <f t="shared" si="2"/>
        <v>187</v>
      </c>
      <c r="M26" s="12">
        <f t="shared" si="3"/>
        <v>0</v>
      </c>
      <c r="N26" s="12">
        <f t="shared" si="4"/>
        <v>1533.4</v>
      </c>
    </row>
    <row r="27" spans="1:14" ht="15" customHeight="1" x14ac:dyDescent="0.35">
      <c r="A27" s="4" t="s">
        <v>125</v>
      </c>
      <c r="B27" s="4" t="s">
        <v>124</v>
      </c>
      <c r="C27" s="5">
        <f>'Broadcast Ad Sales Log'!J39</f>
        <v>1</v>
      </c>
      <c r="D27" s="7">
        <f>'Broadcast Ad Sales Log'!M39</f>
        <v>4000</v>
      </c>
      <c r="E27" s="7">
        <f>'Broadcast Ad Sales Log'!O39</f>
        <v>600</v>
      </c>
      <c r="F27" s="7">
        <f>'Broadcast Ad Sales Log'!P39</f>
        <v>3400</v>
      </c>
      <c r="G27" s="8">
        <v>0</v>
      </c>
      <c r="H27" s="8">
        <v>0.1</v>
      </c>
      <c r="I27" s="8">
        <v>0.02</v>
      </c>
      <c r="J27" s="26">
        <f t="shared" si="0"/>
        <v>0.12000000000000001</v>
      </c>
      <c r="K27" s="7">
        <f t="shared" si="1"/>
        <v>0</v>
      </c>
      <c r="L27" s="7">
        <f t="shared" si="2"/>
        <v>340</v>
      </c>
      <c r="M27" s="7">
        <f t="shared" si="3"/>
        <v>68</v>
      </c>
      <c r="N27" s="7">
        <f t="shared" si="4"/>
        <v>2992</v>
      </c>
    </row>
    <row r="28" spans="1:14" ht="15" customHeight="1" x14ac:dyDescent="0.35">
      <c r="A28" s="9" t="s">
        <v>132</v>
      </c>
      <c r="B28" s="9" t="s">
        <v>54</v>
      </c>
      <c r="C28" s="10">
        <f>'Broadcast Ad Sales Log'!J42</f>
        <v>1</v>
      </c>
      <c r="D28" s="12">
        <f>'Broadcast Ad Sales Log'!M42</f>
        <v>2200</v>
      </c>
      <c r="E28" s="12">
        <f>'Broadcast Ad Sales Log'!O42</f>
        <v>330</v>
      </c>
      <c r="F28" s="12">
        <f>'Broadcast Ad Sales Log'!P42</f>
        <v>1870</v>
      </c>
      <c r="G28" s="13">
        <v>0.08</v>
      </c>
      <c r="H28" s="13">
        <v>0.1</v>
      </c>
      <c r="I28" s="13">
        <v>0</v>
      </c>
      <c r="J28" s="27">
        <f t="shared" si="0"/>
        <v>0.18</v>
      </c>
      <c r="K28" s="12">
        <f t="shared" si="1"/>
        <v>149.6</v>
      </c>
      <c r="L28" s="12">
        <f t="shared" si="2"/>
        <v>187</v>
      </c>
      <c r="M28" s="12">
        <f t="shared" si="3"/>
        <v>0</v>
      </c>
      <c r="N28" s="12">
        <f t="shared" si="4"/>
        <v>1533.4</v>
      </c>
    </row>
    <row r="29" spans="1:14" ht="15" customHeight="1" x14ac:dyDescent="0.35">
      <c r="A29" s="14" t="s">
        <v>137</v>
      </c>
      <c r="B29" s="15"/>
      <c r="C29" s="16">
        <f>SUM(C7:C28)</f>
        <v>51</v>
      </c>
      <c r="D29" s="17">
        <f>SUM(D7:D28)</f>
        <v>216900</v>
      </c>
      <c r="E29" s="17">
        <f>SUM(E7:E28)</f>
        <v>42225</v>
      </c>
      <c r="F29" s="17">
        <f>SUM(F7:F28)</f>
        <v>174675</v>
      </c>
      <c r="G29" s="15"/>
      <c r="H29" s="15"/>
      <c r="I29" s="15"/>
      <c r="J29" s="15"/>
      <c r="K29" s="17">
        <f>SUM(K7:K28)</f>
        <v>2251.1999999999998</v>
      </c>
      <c r="L29" s="17">
        <f>SUM(L7:L28)</f>
        <v>17467.5</v>
      </c>
      <c r="M29" s="17">
        <f>SUM(M7:M28)</f>
        <v>692</v>
      </c>
      <c r="N29" s="17">
        <f>SUM(N7:N28)</f>
        <v>154264.29999999999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0"/>
  <sheetViews>
    <sheetView showGridLines="0" tabSelected="1" zoomScaleNormal="100" workbookViewId="0">
      <selection activeCell="B25" sqref="B25"/>
    </sheetView>
  </sheetViews>
  <sheetFormatPr defaultColWidth="8.6328125" defaultRowHeight="14.5" x14ac:dyDescent="0.35"/>
  <cols>
    <col min="1" max="1" width="38" customWidth="1"/>
    <col min="2" max="2" width="18" customWidth="1"/>
    <col min="3" max="3" width="12" customWidth="1"/>
    <col min="4" max="4" width="34" customWidth="1"/>
    <col min="5" max="6" width="12" customWidth="1"/>
    <col min="7" max="7" width="25.453125" bestFit="1" customWidth="1"/>
  </cols>
  <sheetData>
    <row r="1" spans="1:7" ht="15" customHeight="1" x14ac:dyDescent="0.35">
      <c r="A1" s="1" t="s">
        <v>140</v>
      </c>
      <c r="B1" s="2" t="s">
        <v>1</v>
      </c>
    </row>
    <row r="2" spans="1:7" ht="15" customHeight="1" x14ac:dyDescent="0.35">
      <c r="A2" s="1" t="s">
        <v>6</v>
      </c>
      <c r="B2" s="2" t="s">
        <v>141</v>
      </c>
    </row>
    <row r="3" spans="1:7" ht="15" customHeight="1" x14ac:dyDescent="0.35">
      <c r="A3" s="1" t="s">
        <v>142</v>
      </c>
      <c r="B3" s="2" t="s">
        <v>143</v>
      </c>
    </row>
    <row r="4" spans="1:7" ht="15" customHeight="1" x14ac:dyDescent="0.35">
      <c r="A4" s="1" t="s">
        <v>144</v>
      </c>
      <c r="B4" s="2" t="s">
        <v>158</v>
      </c>
    </row>
    <row r="5" spans="1:7" ht="7.5" customHeight="1" x14ac:dyDescent="0.35"/>
    <row r="6" spans="1:7" ht="21.75" customHeight="1" x14ac:dyDescent="0.35">
      <c r="A6" s="28" t="s">
        <v>159</v>
      </c>
      <c r="B6" s="29"/>
      <c r="C6" s="29"/>
      <c r="D6" s="29"/>
      <c r="E6" s="29"/>
      <c r="F6" s="29"/>
    </row>
    <row r="7" spans="1:7" ht="36" customHeight="1" x14ac:dyDescent="0.35">
      <c r="A7" s="30" t="s">
        <v>160</v>
      </c>
      <c r="B7" s="30" t="s">
        <v>161</v>
      </c>
      <c r="C7" s="30" t="s">
        <v>162</v>
      </c>
      <c r="D7" s="30" t="s">
        <v>163</v>
      </c>
      <c r="E7" s="30" t="s">
        <v>164</v>
      </c>
      <c r="F7" s="30" t="s">
        <v>165</v>
      </c>
      <c r="G7" s="30" t="s">
        <v>166</v>
      </c>
    </row>
    <row r="8" spans="1:7" ht="15" customHeight="1" x14ac:dyDescent="0.35">
      <c r="A8" s="4" t="s">
        <v>167</v>
      </c>
      <c r="B8" s="4" t="s">
        <v>168</v>
      </c>
      <c r="C8" s="5">
        <f>'Revenue by Sponsor Summary'!C11+'Revenue by Sponsor Summary'!C21+'Revenue by Sponsor Summary'!C26</f>
        <v>3</v>
      </c>
      <c r="D8" s="7">
        <f>'Revenue by Sponsor Summary'!F11+'Revenue by Sponsor Summary'!F21+'Revenue by Sponsor Summary'!F26</f>
        <v>11230</v>
      </c>
      <c r="E8" s="8">
        <v>0.08</v>
      </c>
      <c r="F8" s="7">
        <f>D8*E8</f>
        <v>898.4</v>
      </c>
      <c r="G8" s="4" t="s">
        <v>169</v>
      </c>
    </row>
    <row r="9" spans="1:7" ht="15" customHeight="1" x14ac:dyDescent="0.35">
      <c r="A9" s="9" t="s">
        <v>170</v>
      </c>
      <c r="B9" s="9" t="s">
        <v>171</v>
      </c>
      <c r="C9" s="10">
        <f>'Revenue by Sponsor Summary'!C15+'Revenue by Sponsor Summary'!C24</f>
        <v>2</v>
      </c>
      <c r="D9" s="12">
        <f>'Revenue by Sponsor Summary'!F15+'Revenue by Sponsor Summary'!F24</f>
        <v>9600</v>
      </c>
      <c r="E9" s="13">
        <v>0.08</v>
      </c>
      <c r="F9" s="12">
        <f>D9*E9</f>
        <v>768</v>
      </c>
      <c r="G9" s="9" t="s">
        <v>172</v>
      </c>
    </row>
    <row r="10" spans="1:7" ht="15" customHeight="1" x14ac:dyDescent="0.35">
      <c r="A10" s="4" t="s">
        <v>173</v>
      </c>
      <c r="B10" s="4" t="s">
        <v>174</v>
      </c>
      <c r="C10" s="5">
        <f>'Revenue by Sponsor Summary'!C19+'Revenue by Sponsor Summary'!C28</f>
        <v>2</v>
      </c>
      <c r="D10" s="7">
        <f>'Revenue by Sponsor Summary'!F19+'Revenue by Sponsor Summary'!F28</f>
        <v>7310</v>
      </c>
      <c r="E10" s="8">
        <v>0.08</v>
      </c>
      <c r="F10" s="7">
        <f>D10*E10</f>
        <v>584.80000000000007</v>
      </c>
      <c r="G10" s="4" t="s">
        <v>175</v>
      </c>
    </row>
    <row r="11" spans="1:7" ht="15" customHeight="1" x14ac:dyDescent="0.35">
      <c r="A11" s="31" t="s">
        <v>137</v>
      </c>
      <c r="B11" s="31"/>
      <c r="C11" s="16">
        <f>SUM(C8:C10)</f>
        <v>7</v>
      </c>
      <c r="D11" s="31"/>
      <c r="E11" s="17">
        <f>SUM(D8:D10)</f>
        <v>28140</v>
      </c>
      <c r="F11" s="17">
        <f>SUM(F8:F10)</f>
        <v>2251.2000000000003</v>
      </c>
      <c r="G11" s="31"/>
    </row>
    <row r="12" spans="1:7" ht="9.75" customHeight="1" x14ac:dyDescent="0.35"/>
    <row r="13" spans="1:7" ht="21.75" customHeight="1" x14ac:dyDescent="0.35">
      <c r="A13" s="32" t="s">
        <v>176</v>
      </c>
      <c r="B13" s="33"/>
      <c r="C13" s="33"/>
      <c r="D13" s="33"/>
      <c r="E13" s="33"/>
      <c r="F13" s="33"/>
    </row>
    <row r="14" spans="1:7" ht="36" customHeight="1" x14ac:dyDescent="0.35">
      <c r="A14" s="34" t="s">
        <v>177</v>
      </c>
      <c r="B14" s="34" t="s">
        <v>178</v>
      </c>
      <c r="C14" s="34" t="s">
        <v>179</v>
      </c>
      <c r="D14" s="34" t="s">
        <v>180</v>
      </c>
      <c r="E14" s="34" t="s">
        <v>153</v>
      </c>
      <c r="F14" s="34" t="s">
        <v>166</v>
      </c>
      <c r="G14" s="34" t="s">
        <v>181</v>
      </c>
    </row>
    <row r="15" spans="1:7" ht="15" customHeight="1" x14ac:dyDescent="0.35">
      <c r="A15" s="4" t="s">
        <v>182</v>
      </c>
      <c r="B15" s="4" t="s">
        <v>183</v>
      </c>
      <c r="C15" s="7">
        <f>'Revenue by Sponsor Summary'!F29</f>
        <v>174675</v>
      </c>
      <c r="D15" s="8">
        <v>0.1</v>
      </c>
      <c r="E15" s="7">
        <f>C15*D15</f>
        <v>17467.5</v>
      </c>
      <c r="F15" s="4" t="s">
        <v>184</v>
      </c>
      <c r="G15" s="4" t="s">
        <v>185</v>
      </c>
    </row>
    <row r="16" spans="1:7" ht="15" customHeight="1" x14ac:dyDescent="0.35">
      <c r="A16" s="31" t="s">
        <v>137</v>
      </c>
      <c r="B16" s="15"/>
      <c r="C16" s="17">
        <f>C15</f>
        <v>174675</v>
      </c>
      <c r="D16" s="15"/>
      <c r="E16" s="17">
        <f>E15</f>
        <v>17467.5</v>
      </c>
      <c r="F16" s="15"/>
      <c r="G16" s="15"/>
    </row>
    <row r="17" spans="1:7" ht="9.75" customHeight="1" x14ac:dyDescent="0.35"/>
    <row r="18" spans="1:7" ht="21.75" customHeight="1" x14ac:dyDescent="0.35">
      <c r="A18" s="35" t="s">
        <v>186</v>
      </c>
      <c r="B18" s="36"/>
      <c r="C18" s="36"/>
      <c r="D18" s="36"/>
      <c r="E18" s="36"/>
      <c r="F18" s="36"/>
    </row>
    <row r="19" spans="1:7" ht="36" customHeight="1" x14ac:dyDescent="0.35">
      <c r="A19" s="37" t="s">
        <v>187</v>
      </c>
      <c r="B19" s="37" t="s">
        <v>188</v>
      </c>
      <c r="C19" s="37" t="s">
        <v>163</v>
      </c>
      <c r="D19" s="37" t="s">
        <v>189</v>
      </c>
      <c r="E19" s="37" t="s">
        <v>165</v>
      </c>
      <c r="F19" s="37" t="s">
        <v>190</v>
      </c>
      <c r="G19" s="37" t="s">
        <v>181</v>
      </c>
    </row>
    <row r="20" spans="1:7" ht="15" customHeight="1" x14ac:dyDescent="0.35">
      <c r="A20" s="4" t="s">
        <v>191</v>
      </c>
      <c r="B20" s="4" t="s">
        <v>192</v>
      </c>
      <c r="C20" s="7">
        <f>'Revenue by Sponsor Summary'!F9+'Revenue by Sponsor Summary'!F17+'Revenue by Sponsor Summary'!F23+'Revenue by Sponsor Summary'!F27</f>
        <v>34600</v>
      </c>
      <c r="D20" s="8">
        <v>0.02</v>
      </c>
      <c r="E20" s="7">
        <f>C20*D20</f>
        <v>692</v>
      </c>
      <c r="F20" s="4" t="s">
        <v>193</v>
      </c>
      <c r="G20" s="4" t="s">
        <v>194</v>
      </c>
    </row>
    <row r="21" spans="1:7" ht="15" customHeight="1" x14ac:dyDescent="0.35">
      <c r="A21" s="31" t="s">
        <v>137</v>
      </c>
      <c r="B21" s="15"/>
      <c r="C21" s="17">
        <f>C20</f>
        <v>34600</v>
      </c>
      <c r="D21" s="15"/>
      <c r="E21" s="17">
        <f>E20</f>
        <v>692</v>
      </c>
      <c r="F21" s="15"/>
      <c r="G21" s="15"/>
    </row>
    <row r="22" spans="1:7" ht="9.75" customHeight="1" x14ac:dyDescent="0.35"/>
    <row r="23" spans="1:7" ht="21.75" customHeight="1" x14ac:dyDescent="0.35">
      <c r="A23" s="38" t="s">
        <v>195</v>
      </c>
      <c r="B23" s="39"/>
      <c r="C23" s="39"/>
      <c r="D23" s="39"/>
      <c r="E23" s="39"/>
      <c r="F23" s="39"/>
    </row>
    <row r="24" spans="1:7" ht="36" customHeight="1" x14ac:dyDescent="0.35">
      <c r="A24" s="40" t="s">
        <v>196</v>
      </c>
      <c r="B24" s="40" t="s">
        <v>197</v>
      </c>
      <c r="C24" s="40" t="s">
        <v>198</v>
      </c>
      <c r="D24" s="40" t="s">
        <v>181</v>
      </c>
      <c r="E24" s="40"/>
      <c r="F24" s="40"/>
      <c r="G24" s="40"/>
    </row>
    <row r="25" spans="1:7" ht="15" customHeight="1" x14ac:dyDescent="0.35">
      <c r="A25" s="9" t="s">
        <v>199</v>
      </c>
      <c r="B25" s="12">
        <f>'Revenue by Sponsor Summary'!D29</f>
        <v>216900</v>
      </c>
      <c r="C25" s="27">
        <f>B25/B25</f>
        <v>1</v>
      </c>
      <c r="D25" s="9" t="s">
        <v>200</v>
      </c>
      <c r="E25" s="9"/>
      <c r="F25" s="9"/>
      <c r="G25" s="9"/>
    </row>
    <row r="26" spans="1:7" ht="15" customHeight="1" x14ac:dyDescent="0.35">
      <c r="A26" s="4" t="s">
        <v>201</v>
      </c>
      <c r="B26" s="7">
        <f>-'Revenue by Sponsor Summary'!E29</f>
        <v>-42225</v>
      </c>
      <c r="C26" s="26">
        <f>B26/B25</f>
        <v>-0.19467496542185339</v>
      </c>
      <c r="D26" s="4" t="s">
        <v>202</v>
      </c>
      <c r="E26" s="4"/>
      <c r="F26" s="4"/>
      <c r="G26" s="4"/>
    </row>
    <row r="27" spans="1:7" ht="15" customHeight="1" x14ac:dyDescent="0.35">
      <c r="A27" s="4" t="s">
        <v>203</v>
      </c>
      <c r="B27" s="7">
        <f>-F11</f>
        <v>-2251.2000000000003</v>
      </c>
      <c r="C27" s="26">
        <f>B27/B25</f>
        <v>-1.0378976486860305E-2</v>
      </c>
      <c r="D27" s="4" t="s">
        <v>204</v>
      </c>
      <c r="E27" s="4"/>
      <c r="F27" s="4"/>
      <c r="G27" s="4"/>
    </row>
    <row r="28" spans="1:7" ht="15" customHeight="1" x14ac:dyDescent="0.35">
      <c r="A28" s="4" t="s">
        <v>205</v>
      </c>
      <c r="B28" s="7">
        <f>-E15</f>
        <v>-17467.5</v>
      </c>
      <c r="C28" s="26">
        <f>B28/B25</f>
        <v>-8.0532503457814666E-2</v>
      </c>
      <c r="D28" s="4" t="s">
        <v>206</v>
      </c>
      <c r="E28" s="4"/>
      <c r="F28" s="4"/>
      <c r="G28" s="4"/>
    </row>
    <row r="29" spans="1:7" ht="15" customHeight="1" x14ac:dyDescent="0.35">
      <c r="A29" s="4" t="s">
        <v>207</v>
      </c>
      <c r="B29" s="7">
        <f>-E20</f>
        <v>-692</v>
      </c>
      <c r="C29" s="26">
        <f>B29/B25</f>
        <v>-3.1904103273397879E-3</v>
      </c>
      <c r="D29" s="4" t="s">
        <v>208</v>
      </c>
      <c r="E29" s="4"/>
      <c r="F29" s="4"/>
      <c r="G29" s="4"/>
    </row>
    <row r="30" spans="1:7" ht="15" customHeight="1" x14ac:dyDescent="0.35">
      <c r="A30" s="31" t="s">
        <v>209</v>
      </c>
      <c r="B30" s="17">
        <f>B25+B26+B27+B28+B29</f>
        <v>154264.29999999999</v>
      </c>
      <c r="C30" s="41">
        <f>B30/B25</f>
        <v>0.71122314430613176</v>
      </c>
      <c r="D30" s="31" t="s">
        <v>210</v>
      </c>
      <c r="E30" s="31"/>
      <c r="F30" s="31"/>
      <c r="G30" s="31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Broadcast Ad Sales Log</vt:lpstr>
      <vt:lpstr>Revenue by Sponsor Summary</vt:lpstr>
      <vt:lpstr>Revenue Distribution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Bhuwan Sirohi</cp:lastModifiedBy>
  <cp:revision>0</cp:revision>
  <dcterms:created xsi:type="dcterms:W3CDTF">2026-07-08T13:24:47Z</dcterms:created>
  <dcterms:modified xsi:type="dcterms:W3CDTF">2026-07-09T14:37:34Z</dcterms:modified>
  <dc:language>en-US</dc:language>
</cp:coreProperties>
</file>